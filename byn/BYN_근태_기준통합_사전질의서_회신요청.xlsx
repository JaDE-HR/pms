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\OneDrive\바탕 화면\프로젝트\BYN(블랙야크)\발신 자료\"/>
    </mc:Choice>
  </mc:AlternateContent>
  <xr:revisionPtr revIDLastSave="0" documentId="8_{0C3F5BC2-A651-460D-BFF3-8A6E2FE056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0.작성안내" sheetId="1" r:id="rId1"/>
    <sheet name="1.근태코드" sheetId="2" r:id="rId2"/>
    <sheet name="2-1.근무유형" sheetId="3" r:id="rId3"/>
    <sheet name="2-2.근태코드 시간" sheetId="4" r:id="rId4"/>
    <sheet name="2-3.지각조퇴" sheetId="5" r:id="rId5"/>
    <sheet name="3.근로유형(정산)" sheetId="6" r:id="rId6"/>
    <sheet name="4.스케줄근무그룹" sheetId="7" r:id="rId7"/>
    <sheet name="5.신청서_근태코드" sheetId="8" r:id="rId8"/>
    <sheet name="참조_근태코드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7" i="5" l="1"/>
  <c r="E47" i="5"/>
  <c r="D47" i="5"/>
  <c r="C47" i="5"/>
  <c r="H46" i="5"/>
  <c r="E46" i="5"/>
  <c r="D46" i="5"/>
  <c r="C46" i="5"/>
  <c r="H45" i="5"/>
  <c r="E45" i="5"/>
  <c r="D45" i="5"/>
  <c r="C45" i="5"/>
  <c r="H44" i="5"/>
  <c r="E44" i="5"/>
  <c r="D44" i="5"/>
  <c r="C44" i="5"/>
  <c r="H43" i="5"/>
  <c r="E43" i="5"/>
  <c r="D43" i="5"/>
  <c r="C43" i="5"/>
  <c r="H42" i="5"/>
  <c r="E42" i="5"/>
  <c r="D42" i="5"/>
  <c r="C42" i="5"/>
  <c r="H41" i="5"/>
  <c r="E41" i="5"/>
  <c r="D41" i="5"/>
  <c r="C41" i="5"/>
  <c r="H40" i="5"/>
  <c r="E40" i="5"/>
  <c r="D40" i="5"/>
  <c r="C40" i="5"/>
  <c r="H39" i="5"/>
  <c r="E39" i="5"/>
  <c r="D39" i="5"/>
  <c r="C39" i="5"/>
  <c r="H38" i="5"/>
  <c r="E38" i="5"/>
  <c r="D38" i="5"/>
  <c r="C38" i="5"/>
  <c r="H37" i="5"/>
  <c r="E37" i="5"/>
  <c r="D37" i="5"/>
  <c r="C37" i="5"/>
  <c r="H36" i="5"/>
  <c r="E36" i="5"/>
  <c r="D36" i="5"/>
  <c r="C36" i="5"/>
  <c r="H35" i="5"/>
  <c r="E35" i="5"/>
  <c r="D35" i="5"/>
  <c r="C35" i="5"/>
  <c r="H34" i="5"/>
  <c r="E34" i="5"/>
  <c r="D34" i="5"/>
  <c r="C34" i="5"/>
  <c r="H33" i="5"/>
  <c r="E33" i="5"/>
  <c r="D33" i="5"/>
  <c r="C33" i="5"/>
  <c r="H32" i="5"/>
  <c r="E32" i="5"/>
  <c r="D32" i="5"/>
  <c r="C32" i="5"/>
  <c r="H31" i="5"/>
  <c r="E31" i="5"/>
  <c r="D31" i="5"/>
  <c r="C31" i="5"/>
  <c r="H30" i="5"/>
  <c r="E30" i="5"/>
  <c r="D30" i="5"/>
  <c r="C30" i="5"/>
  <c r="H29" i="5"/>
  <c r="E29" i="5"/>
  <c r="D29" i="5"/>
  <c r="C29" i="5"/>
  <c r="H28" i="5"/>
  <c r="E28" i="5"/>
  <c r="D28" i="5"/>
  <c r="C28" i="5"/>
  <c r="H27" i="5"/>
  <c r="E27" i="5"/>
  <c r="D27" i="5"/>
  <c r="C27" i="5"/>
  <c r="H26" i="5"/>
  <c r="E26" i="5"/>
  <c r="D26" i="5"/>
  <c r="C26" i="5"/>
  <c r="H25" i="5"/>
  <c r="E25" i="5"/>
  <c r="D25" i="5"/>
  <c r="C25" i="5"/>
  <c r="H24" i="5"/>
  <c r="E24" i="5"/>
  <c r="D24" i="5"/>
  <c r="C24" i="5"/>
  <c r="H23" i="5"/>
  <c r="E23" i="5"/>
  <c r="D23" i="5"/>
  <c r="C23" i="5"/>
  <c r="H22" i="5"/>
  <c r="E22" i="5"/>
  <c r="D22" i="5"/>
  <c r="C22" i="5"/>
  <c r="H21" i="5"/>
  <c r="E21" i="5"/>
  <c r="D21" i="5"/>
  <c r="C21" i="5"/>
  <c r="H20" i="5"/>
  <c r="E20" i="5"/>
  <c r="D20" i="5"/>
  <c r="C20" i="5"/>
  <c r="H19" i="5"/>
  <c r="E19" i="5"/>
  <c r="D19" i="5"/>
  <c r="C19" i="5"/>
  <c r="H18" i="5"/>
  <c r="E18" i="5"/>
  <c r="D18" i="5"/>
  <c r="C18" i="5"/>
  <c r="H17" i="5"/>
  <c r="E17" i="5"/>
  <c r="D17" i="5"/>
  <c r="C17" i="5"/>
  <c r="H16" i="5"/>
  <c r="E16" i="5"/>
  <c r="D16" i="5"/>
  <c r="C16" i="5"/>
  <c r="H15" i="5"/>
  <c r="E15" i="5"/>
  <c r="D15" i="5"/>
  <c r="C15" i="5"/>
  <c r="H14" i="5"/>
  <c r="E14" i="5"/>
  <c r="D14" i="5"/>
  <c r="C14" i="5"/>
  <c r="H13" i="5"/>
  <c r="E13" i="5"/>
  <c r="D13" i="5"/>
  <c r="C13" i="5"/>
  <c r="H12" i="5"/>
  <c r="E12" i="5"/>
  <c r="D12" i="5"/>
  <c r="C12" i="5"/>
  <c r="H11" i="5"/>
  <c r="E11" i="5"/>
  <c r="D11" i="5"/>
  <c r="C11" i="5"/>
  <c r="H10" i="5"/>
  <c r="E10" i="5"/>
  <c r="D10" i="5"/>
  <c r="C10" i="5"/>
  <c r="H9" i="5"/>
  <c r="E9" i="5"/>
  <c r="D9" i="5"/>
  <c r="C9" i="5"/>
  <c r="H8" i="5"/>
  <c r="E8" i="5"/>
  <c r="D8" i="5"/>
  <c r="C8" i="5"/>
  <c r="H47" i="4"/>
  <c r="G47" i="4"/>
  <c r="F47" i="4"/>
  <c r="E47" i="4"/>
  <c r="D47" i="4"/>
  <c r="C47" i="4"/>
  <c r="H46" i="4"/>
  <c r="G46" i="4"/>
  <c r="F46" i="4"/>
  <c r="E46" i="4"/>
  <c r="D46" i="4"/>
  <c r="C46" i="4"/>
  <c r="H45" i="4"/>
  <c r="G45" i="4"/>
  <c r="F45" i="4"/>
  <c r="E45" i="4"/>
  <c r="D45" i="4"/>
  <c r="C45" i="4"/>
  <c r="H44" i="4"/>
  <c r="G44" i="4"/>
  <c r="F44" i="4"/>
  <c r="E44" i="4"/>
  <c r="D44" i="4"/>
  <c r="C44" i="4"/>
  <c r="H43" i="4"/>
  <c r="G43" i="4"/>
  <c r="F43" i="4"/>
  <c r="E43" i="4"/>
  <c r="D43" i="4"/>
  <c r="C43" i="4"/>
  <c r="H42" i="4"/>
  <c r="G42" i="4"/>
  <c r="F42" i="4"/>
  <c r="E42" i="4"/>
  <c r="D42" i="4"/>
  <c r="C42" i="4"/>
  <c r="H41" i="4"/>
  <c r="G41" i="4"/>
  <c r="F41" i="4"/>
  <c r="E41" i="4"/>
  <c r="D41" i="4"/>
  <c r="C41" i="4"/>
  <c r="H40" i="4"/>
  <c r="G40" i="4"/>
  <c r="F40" i="4"/>
  <c r="E40" i="4"/>
  <c r="D40" i="4"/>
  <c r="C40" i="4"/>
  <c r="H39" i="4"/>
  <c r="G39" i="4"/>
  <c r="F39" i="4"/>
  <c r="E39" i="4"/>
  <c r="D39" i="4"/>
  <c r="C39" i="4"/>
  <c r="H38" i="4"/>
  <c r="G38" i="4"/>
  <c r="F38" i="4"/>
  <c r="E38" i="4"/>
  <c r="D38" i="4"/>
  <c r="C38" i="4"/>
  <c r="H37" i="4"/>
  <c r="G37" i="4"/>
  <c r="F37" i="4"/>
  <c r="E37" i="4"/>
  <c r="D37" i="4"/>
  <c r="C37" i="4"/>
  <c r="H36" i="4"/>
  <c r="G36" i="4"/>
  <c r="F36" i="4"/>
  <c r="E36" i="4"/>
  <c r="D36" i="4"/>
  <c r="C36" i="4"/>
  <c r="H35" i="4"/>
  <c r="G35" i="4"/>
  <c r="F35" i="4"/>
  <c r="E35" i="4"/>
  <c r="D35" i="4"/>
  <c r="C35" i="4"/>
  <c r="H34" i="4"/>
  <c r="G34" i="4"/>
  <c r="F34" i="4"/>
  <c r="E34" i="4"/>
  <c r="D34" i="4"/>
  <c r="C34" i="4"/>
  <c r="H33" i="4"/>
  <c r="G33" i="4"/>
  <c r="F33" i="4"/>
  <c r="E33" i="4"/>
  <c r="D33" i="4"/>
  <c r="C33" i="4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8" i="4"/>
  <c r="G28" i="4"/>
  <c r="F28" i="4"/>
  <c r="E28" i="4"/>
  <c r="D28" i="4"/>
  <c r="C28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</calcChain>
</file>

<file path=xl/sharedStrings.xml><?xml version="1.0" encoding="utf-8"?>
<sst xmlns="http://schemas.openxmlformats.org/spreadsheetml/2006/main" count="607" uniqueCount="235">
  <si>
    <r>
      <rPr>
        <b/>
        <sz val="14"/>
        <color rgb="FFFFFFFF"/>
        <rFont val="맑은 고딕"/>
        <family val="3"/>
        <charset val="129"/>
      </rPr>
      <t xml:space="preserve">BYN </t>
    </r>
    <r>
      <rPr>
        <b/>
        <sz val="14"/>
        <color rgb="FFFFFFFF"/>
        <rFont val="Noto Sans CJK SC"/>
        <family val="2"/>
      </rPr>
      <t>근태 기준정보 통합 사전질의서</t>
    </r>
  </si>
  <si>
    <r>
      <rPr>
        <sz val="9"/>
        <color rgb="FF000000"/>
        <rFont val="맑은 고딕"/>
        <family val="3"/>
        <charset val="129"/>
      </rPr>
      <t xml:space="preserve">JaDE HR </t>
    </r>
    <r>
      <rPr>
        <sz val="9"/>
        <color rgb="FF000000"/>
        <rFont val="Noto Sans CJK SC"/>
        <family val="2"/>
      </rPr>
      <t xml:space="preserve">시스템 구축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근태 영역 기준정보 확정을 위한 회신 요청</t>
    </r>
  </si>
  <si>
    <t>작성 목적</t>
  </si>
  <si>
    <r>
      <rPr>
        <sz val="9"/>
        <color rgb="FF000000"/>
        <rFont val="Noto Sans CJK SC"/>
        <family val="2"/>
      </rPr>
      <t>근태 영역 기준정보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근태코드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근무유형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근로유형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스케줄근무그룹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신청서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를 확정하기 위한 질의서입니다</t>
    </r>
    <r>
      <rPr>
        <sz val="9"/>
        <color rgb="FF000000"/>
        <rFont val="맑은 고딕"/>
        <family val="3"/>
        <charset val="129"/>
      </rPr>
      <t>.
HCG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차로 설정한 안을 함께 기재하였습니다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그대로 진행할지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수정이 필요한지 회신해 주시면 그 내용을 기준으로 시스템 설정 및 설계를 진행합니다</t>
    </r>
    <r>
      <rPr>
        <sz val="9"/>
        <color rgb="FF000000"/>
        <rFont val="맑은 고딕"/>
        <family val="3"/>
        <charset val="129"/>
      </rPr>
      <t>.</t>
    </r>
  </si>
  <si>
    <t>회신 방법</t>
  </si>
  <si>
    <r>
      <rPr>
        <sz val="9"/>
        <color rgb="FF000000"/>
        <rFont val="Noto Sans CJK SC"/>
        <family val="2"/>
      </rPr>
      <t>노란색 입력칸에만 작성해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회색 칸은 </t>
    </r>
    <r>
      <rPr>
        <sz val="9"/>
        <color rgb="FF000000"/>
        <rFont val="맑은 고딕"/>
        <family val="3"/>
        <charset val="129"/>
      </rPr>
      <t xml:space="preserve">HCG </t>
    </r>
    <r>
      <rPr>
        <sz val="9"/>
        <color rgb="FF000000"/>
        <rFont val="Noto Sans CJK SC"/>
        <family val="2"/>
      </rPr>
      <t>설정안 또는 안내문이므로 작성이 불필요합니다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판단이 어려운 항목은 비고란에 사유를 남겨 주시면 담당 컨설턴트가 협의드립니다</t>
    </r>
    <r>
      <rPr>
        <sz val="9"/>
        <color rgb="FF000000"/>
        <rFont val="맑은 고딕"/>
        <family val="3"/>
        <charset val="129"/>
      </rPr>
      <t>.</t>
    </r>
  </si>
  <si>
    <t>회신 기한</t>
  </si>
  <si>
    <t>시트 구성</t>
  </si>
  <si>
    <r>
      <rPr>
        <b/>
        <sz val="9"/>
        <color rgb="FF000000"/>
        <rFont val="맑은 고딕"/>
        <family val="3"/>
        <charset val="129"/>
      </rPr>
      <t>1.</t>
    </r>
    <r>
      <rPr>
        <b/>
        <sz val="9"/>
        <color rgb="FF000000"/>
        <rFont val="Noto Sans CJK SC"/>
        <family val="2"/>
      </rPr>
      <t>근태코드</t>
    </r>
  </si>
  <si>
    <r>
      <rPr>
        <b/>
        <sz val="9"/>
        <color rgb="FF000000"/>
        <rFont val="맑은 고딕"/>
        <family val="3"/>
        <charset val="129"/>
      </rPr>
      <t>2-1.</t>
    </r>
    <r>
      <rPr>
        <b/>
        <sz val="9"/>
        <color rgb="FF000000"/>
        <rFont val="Noto Sans CJK SC"/>
        <family val="2"/>
      </rPr>
      <t>근무유형</t>
    </r>
  </si>
  <si>
    <r>
      <rPr>
        <sz val="9"/>
        <color rgb="FF000000"/>
        <rFont val="Noto Sans CJK SC"/>
        <family val="2"/>
      </rPr>
      <t>하루 단위 계획시간 목록입니다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이 시트가 마스터이며 </t>
    </r>
    <r>
      <rPr>
        <sz val="9"/>
        <color rgb="FF000000"/>
        <rFont val="맑은 고딕"/>
        <family val="3"/>
        <charset val="129"/>
      </rPr>
      <t>2-2 / 2-3</t>
    </r>
    <r>
      <rPr>
        <sz val="9"/>
        <color rgb="FF000000"/>
        <rFont val="Noto Sans CJK SC"/>
        <family val="2"/>
      </rPr>
      <t>은 여기에 자동 연동됩니다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</si>
  <si>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맑은 고딕"/>
        <family val="3"/>
        <charset val="129"/>
      </rPr>
      <t>2-2.</t>
    </r>
    <r>
      <rPr>
        <b/>
        <sz val="9"/>
        <color rgb="FF000000"/>
        <rFont val="Noto Sans CJK SC"/>
        <family val="2"/>
      </rPr>
      <t>근태코드 시간</t>
    </r>
  </si>
  <si>
    <r>
      <rPr>
        <sz val="9"/>
        <color rgb="FF000000"/>
        <rFont val="Noto Sans CJK SC"/>
        <family val="2"/>
      </rPr>
      <t>근무유형별 반차 시간대입니다</t>
    </r>
    <r>
      <rPr>
        <sz val="9"/>
        <color rgb="FF000000"/>
        <rFont val="맑은 고딕"/>
        <family val="3"/>
        <charset val="129"/>
      </rPr>
      <t>. 2-1</t>
    </r>
    <r>
      <rPr>
        <sz val="9"/>
        <color rgb="FF000000"/>
        <rFont val="Noto Sans CJK SC"/>
        <family val="2"/>
      </rPr>
      <t>의 계획시간에 따라 자동 산출됩니다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</si>
  <si>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맑은 고딕"/>
        <family val="3"/>
        <charset val="129"/>
      </rPr>
      <t>2-3.</t>
    </r>
    <r>
      <rPr>
        <b/>
        <sz val="9"/>
        <color rgb="FF000000"/>
        <rFont val="Noto Sans CJK SC"/>
        <family val="2"/>
      </rPr>
      <t>지각조퇴</t>
    </r>
  </si>
  <si>
    <r>
      <rPr>
        <sz val="9"/>
        <color rgb="FF000000"/>
        <rFont val="Noto Sans CJK SC"/>
        <family val="2"/>
      </rPr>
      <t xml:space="preserve">근무유형별 지각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조퇴 기준입니다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기준시각은 </t>
    </r>
    <r>
      <rPr>
        <sz val="9"/>
        <color rgb="FF000000"/>
        <rFont val="맑은 고딕"/>
        <family val="3"/>
        <charset val="129"/>
      </rPr>
      <t>2-1</t>
    </r>
    <r>
      <rPr>
        <sz val="9"/>
        <color rgb="FF000000"/>
        <rFont val="Noto Sans CJK SC"/>
        <family val="2"/>
      </rPr>
      <t>에서 자동 연동됩니다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</si>
  <si>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맑은 고딕"/>
        <family val="3"/>
        <charset val="129"/>
      </rPr>
      <t>3.</t>
    </r>
    <r>
      <rPr>
        <b/>
        <sz val="9"/>
        <color rgb="FF000000"/>
        <rFont val="Noto Sans CJK SC"/>
        <family val="2"/>
      </rPr>
      <t>근로유형</t>
    </r>
    <r>
      <rPr>
        <b/>
        <sz val="9"/>
        <color rgb="FF000000"/>
        <rFont val="맑은 고딕"/>
        <family val="3"/>
        <charset val="129"/>
      </rPr>
      <t>(</t>
    </r>
    <r>
      <rPr>
        <b/>
        <sz val="9"/>
        <color rgb="FF000000"/>
        <rFont val="Noto Sans CJK SC"/>
        <family val="2"/>
      </rPr>
      <t>정산</t>
    </r>
    <r>
      <rPr>
        <b/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</si>
  <si>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정산 단위 기준입니다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소정근로시간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연장 인정시간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대체휴가 부여기준을 회신해 주십시오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</si>
  <si>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맑은 고딕"/>
        <family val="3"/>
        <charset val="129"/>
      </rPr>
      <t>4.</t>
    </r>
    <r>
      <rPr>
        <b/>
        <sz val="9"/>
        <color rgb="FF000000"/>
        <rFont val="Noto Sans CJK SC"/>
        <family val="2"/>
      </rPr>
      <t>스케줄근무그룹</t>
    </r>
  </si>
  <si>
    <r>
      <rPr>
        <sz val="9"/>
        <color rgb="FF000000"/>
        <rFont val="Noto Sans CJK SC"/>
        <family val="2"/>
      </rPr>
      <t>스케줄근무를 운영해야 하는 근무유형을 그룹 단위로 반영해 주십시오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</si>
  <si>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맑은 고딕"/>
        <family val="3"/>
        <charset val="129"/>
      </rPr>
      <t>5.</t>
    </r>
    <r>
      <rPr>
        <b/>
        <sz val="9"/>
        <color rgb="FF000000"/>
        <rFont val="Noto Sans CJK SC"/>
        <family val="2"/>
      </rPr>
      <t>신청서</t>
    </r>
    <r>
      <rPr>
        <b/>
        <sz val="9"/>
        <color rgb="FF000000"/>
        <rFont val="맑은 고딕"/>
        <family val="3"/>
        <charset val="129"/>
      </rPr>
      <t>_</t>
    </r>
    <r>
      <rPr>
        <b/>
        <sz val="9"/>
        <color rgb="FF000000"/>
        <rFont val="Noto Sans CJK SC"/>
        <family val="2"/>
      </rPr>
      <t>근태코드</t>
    </r>
  </si>
  <si>
    <r>
      <rPr>
        <sz val="9"/>
        <color rgb="FF000000"/>
        <rFont val="Noto Sans CJK SC"/>
        <family val="2"/>
      </rPr>
      <t>신청서 종류와 신청서별로 선택 가능한 근태코드를 연결해 주십시오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</si>
  <si>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000000"/>
        <rFont val="Noto Sans CJK SC"/>
        <family val="2"/>
      </rPr>
      <t>참조</t>
    </r>
    <r>
      <rPr>
        <b/>
        <sz val="9"/>
        <color rgb="FF000000"/>
        <rFont val="맑은 고딕"/>
        <family val="3"/>
        <charset val="129"/>
      </rPr>
      <t>_</t>
    </r>
    <r>
      <rPr>
        <b/>
        <sz val="9"/>
        <color rgb="FF000000"/>
        <rFont val="Noto Sans CJK SC"/>
        <family val="2"/>
      </rPr>
      <t>근태코드</t>
    </r>
  </si>
  <si>
    <r>
      <rPr>
        <sz val="9"/>
        <color rgb="FF000000"/>
        <rFont val="Noto Sans CJK SC"/>
        <family val="2"/>
      </rPr>
      <t>드롭다운 원본 목록입니다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수정하지 마십시오</t>
    </r>
    <r>
      <rPr>
        <sz val="9"/>
        <color rgb="FF000000"/>
        <rFont val="맑은 고딕"/>
        <family val="3"/>
        <charset val="129"/>
      </rPr>
      <t>.</t>
    </r>
  </si>
  <si>
    <t>색상 범례</t>
  </si>
  <si>
    <t>노란색</t>
  </si>
  <si>
    <r>
      <rPr>
        <sz val="9"/>
        <color rgb="FF000000"/>
        <rFont val="Noto Sans CJK SC"/>
        <family val="2"/>
      </rPr>
      <t>고객사 작성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입력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선택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>칸입니다</t>
    </r>
    <r>
      <rPr>
        <sz val="9"/>
        <color rgb="FF000000"/>
        <rFont val="맑은 고딕"/>
        <family val="3"/>
        <charset val="129"/>
      </rPr>
      <t>.</t>
    </r>
  </si>
  <si>
    <t>연두색</t>
  </si>
  <si>
    <r>
      <rPr>
        <sz val="9"/>
        <color rgb="FF000000"/>
        <rFont val="맑은 고딕"/>
        <family val="3"/>
        <charset val="129"/>
      </rPr>
      <t xml:space="preserve">HCG </t>
    </r>
    <r>
      <rPr>
        <sz val="9"/>
        <color rgb="FF000000"/>
        <rFont val="Noto Sans CJK SC"/>
        <family val="2"/>
      </rPr>
      <t>설정안입니다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그대로 진행 시 별도 작성이 불필요합니다</t>
    </r>
    <r>
      <rPr>
        <sz val="9"/>
        <color rgb="FF000000"/>
        <rFont val="맑은 고딕"/>
        <family val="3"/>
        <charset val="129"/>
      </rPr>
      <t>.</t>
    </r>
  </si>
  <si>
    <t>회색</t>
  </si>
  <si>
    <r>
      <rPr>
        <sz val="9"/>
        <color rgb="FF000000"/>
        <rFont val="Noto Sans CJK SC"/>
        <family val="2"/>
      </rPr>
      <t xml:space="preserve">개념 설명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안내문입니다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작성 불필요합니다</t>
    </r>
    <r>
      <rPr>
        <sz val="9"/>
        <color rgb="FF000000"/>
        <rFont val="맑은 고딕"/>
        <family val="3"/>
        <charset val="129"/>
      </rPr>
      <t>.</t>
    </r>
  </si>
  <si>
    <t>연파랑</t>
  </si>
  <si>
    <r>
      <rPr>
        <sz val="9"/>
        <color rgb="FF000000"/>
        <rFont val="Noto Sans CJK SC"/>
        <family val="2"/>
      </rPr>
      <t>항목 구분 머리글입니다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작성 불필요합니다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</si>
  <si>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14"/>
        <color rgb="FFFFFFFF"/>
        <rFont val="맑은 고딕"/>
        <family val="3"/>
        <charset val="129"/>
      </rPr>
      <t xml:space="preserve">1. </t>
    </r>
    <r>
      <rPr>
        <b/>
        <sz val="14"/>
        <color rgb="FFFFFFFF"/>
        <rFont val="Noto Sans CJK SC"/>
        <family val="2"/>
      </rPr>
      <t xml:space="preserve">근태코드 확정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생성근태 여부 확인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</si>
  <si>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생성근태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부여</t>
    </r>
    <r>
      <rPr>
        <sz val="9"/>
        <color rgb="FF000000"/>
        <rFont val="맑은 고딕"/>
        <family val="3"/>
        <charset val="129"/>
      </rPr>
      <t>-</t>
    </r>
    <r>
      <rPr>
        <sz val="9"/>
        <color rgb="FF000000"/>
        <rFont val="Noto Sans CJK SC"/>
        <family val="2"/>
      </rPr>
      <t>차감형 근태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란</t>
    </r>
    <r>
      <rPr>
        <sz val="9"/>
        <color rgb="FF000000"/>
        <rFont val="맑은 고딕"/>
        <family val="3"/>
        <charset val="129"/>
      </rPr>
      <t xml:space="preserve">]
</t>
    </r>
    <r>
      <rPr>
        <sz val="9"/>
        <color rgb="FF000000"/>
        <rFont val="Noto Sans CJK SC"/>
        <family val="2"/>
      </rPr>
      <t>사용 전에 별도의 부여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생성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>절차를 통해 개인별 사용 가능 일수가 먼저 만들어지고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신청할 때마다 그 잔여일수에서 차감되는 근태를 말합니다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 xml:space="preserve">생성근태로 지정하면 부여일수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사용일수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잔여일수가 관리되고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잔여가 없으면 신청이 제한됩니다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미지정 시에는 잔여 관리 없이 신청만 가능합니다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예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 xml:space="preserve">연차휴가 </t>
    </r>
    <r>
      <rPr>
        <sz val="9"/>
        <color rgb="FF000000"/>
        <rFont val="맑은 고딕"/>
        <family val="3"/>
        <charset val="129"/>
      </rPr>
      <t xml:space="preserve">- </t>
    </r>
    <r>
      <rPr>
        <sz val="9"/>
        <color rgb="FF000000"/>
        <rFont val="Noto Sans CJK SC"/>
        <family val="2"/>
      </rPr>
      <t xml:space="preserve">매년 </t>
    </r>
    <r>
      <rPr>
        <sz val="9"/>
        <color rgb="FF000000"/>
        <rFont val="맑은 고딕"/>
        <family val="3"/>
        <charset val="129"/>
      </rPr>
      <t>15</t>
    </r>
    <r>
      <rPr>
        <sz val="9"/>
        <color rgb="FF000000"/>
        <rFont val="Noto Sans CJK SC"/>
        <family val="2"/>
      </rPr>
      <t xml:space="preserve">일 부여 후 사용할 때마다 차감 </t>
    </r>
    <r>
      <rPr>
        <sz val="9"/>
        <color rgb="FF000000"/>
        <rFont val="맑은 고딕"/>
        <family val="3"/>
        <charset val="129"/>
      </rPr>
      <t xml:space="preserve">=&gt; </t>
    </r>
    <r>
      <rPr>
        <sz val="9"/>
        <color rgb="FF000000"/>
        <rFont val="Noto Sans CJK SC"/>
        <family val="2"/>
      </rPr>
      <t xml:space="preserve">생성근태 </t>
    </r>
    <r>
      <rPr>
        <sz val="9"/>
        <color rgb="FF000000"/>
        <rFont val="맑은 고딕"/>
        <family val="3"/>
        <charset val="129"/>
      </rPr>
      <t xml:space="preserve">O   /   </t>
    </r>
    <r>
      <rPr>
        <sz val="9"/>
        <color rgb="FF000000"/>
        <rFont val="Noto Sans CJK SC"/>
        <family val="2"/>
      </rPr>
      <t xml:space="preserve">경조휴가 </t>
    </r>
    <r>
      <rPr>
        <sz val="9"/>
        <color rgb="FF000000"/>
        <rFont val="맑은 고딕"/>
        <family val="3"/>
        <charset val="129"/>
      </rPr>
      <t xml:space="preserve">- </t>
    </r>
    <r>
      <rPr>
        <sz val="9"/>
        <color rgb="FF000000"/>
        <rFont val="Noto Sans CJK SC"/>
        <family val="2"/>
      </rPr>
      <t xml:space="preserve">사유 발생 시 규정 일수만큼 신청 </t>
    </r>
    <r>
      <rPr>
        <sz val="9"/>
        <color rgb="FF000000"/>
        <rFont val="맑은 고딕"/>
        <family val="3"/>
        <charset val="129"/>
      </rPr>
      <t xml:space="preserve">=&gt; </t>
    </r>
    <r>
      <rPr>
        <sz val="9"/>
        <color rgb="FF000000"/>
        <rFont val="Noto Sans CJK SC"/>
        <family val="2"/>
      </rPr>
      <t xml:space="preserve">생성근태 </t>
    </r>
    <r>
      <rPr>
        <sz val="9"/>
        <color rgb="FF000000"/>
        <rFont val="맑은 고딕"/>
        <family val="3"/>
        <charset val="129"/>
      </rPr>
      <t xml:space="preserve">X
※ </t>
    </r>
    <r>
      <rPr>
        <sz val="9"/>
        <color rgb="FF000000"/>
        <rFont val="Noto Sans CJK SC"/>
        <family val="2"/>
      </rPr>
      <t>반차와 같이 상위 근태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연차휴가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의 잔여에서 차감되는 코드는 그 자체를 생성근태로 두지 않고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차감근태 항목에 상위 코드를 연결합니다</t>
    </r>
    <r>
      <rPr>
        <sz val="9"/>
        <color rgb="FF000000"/>
        <rFont val="맑은 고딕"/>
        <family val="3"/>
        <charset val="129"/>
      </rPr>
      <t>.</t>
    </r>
  </si>
  <si>
    <r>
      <rPr>
        <sz val="9"/>
        <color rgb="FF000000"/>
        <rFont val="맑은 고딕"/>
        <family val="3"/>
        <charset val="129"/>
      </rPr>
      <t xml:space="preserve">[HCG </t>
    </r>
    <r>
      <rPr>
        <sz val="9"/>
        <color rgb="FF000000"/>
        <rFont val="Noto Sans CJK SC"/>
        <family val="2"/>
      </rPr>
      <t>설정안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취업규칙 및 제주 근무표를 기준으로 근태코드 </t>
    </r>
    <r>
      <rPr>
        <sz val="9"/>
        <color rgb="FF000000"/>
        <rFont val="맑은 고딕"/>
        <family val="3"/>
        <charset val="129"/>
      </rPr>
      <t>14</t>
    </r>
    <r>
      <rPr>
        <sz val="9"/>
        <color rgb="FF000000"/>
        <rFont val="Noto Sans CJK SC"/>
        <family val="2"/>
      </rPr>
      <t>종을 정리하였습니다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지각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조퇴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외출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연장 등 근무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시간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>코드는 신청서 대상이 아니므로 제외하였습니다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생성근태 여부 칸에서 ☑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생성함</t>
    </r>
    <r>
      <rPr>
        <sz val="9"/>
        <color rgb="FF000000"/>
        <rFont val="맑은 고딕"/>
        <family val="3"/>
        <charset val="129"/>
      </rPr>
      <t>) / ☐(</t>
    </r>
    <r>
      <rPr>
        <sz val="9"/>
        <color rgb="FF000000"/>
        <rFont val="Noto Sans CJK SC"/>
        <family val="2"/>
      </rPr>
      <t>생성하지 않음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을 선택해 주십시오</t>
    </r>
    <r>
      <rPr>
        <sz val="9"/>
        <color rgb="FF000000"/>
        <rFont val="맑은 고딕"/>
        <family val="3"/>
        <charset val="129"/>
      </rPr>
      <t xml:space="preserve">. ☑ </t>
    </r>
    <r>
      <rPr>
        <sz val="9"/>
        <color rgb="FF000000"/>
        <rFont val="Noto Sans CJK SC"/>
        <family val="2"/>
      </rPr>
      <t>선택 시 부여기준 칸에 부여 방식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부여 시점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일수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이월 여부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을 함께 기재해 주십시오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미확정 안내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아래 </t>
    </r>
    <r>
      <rPr>
        <sz val="9"/>
        <color rgb="FF000000"/>
        <rFont val="맑은 고딕"/>
        <family val="3"/>
        <charset val="129"/>
      </rPr>
      <t>14</t>
    </r>
    <r>
      <rPr>
        <sz val="9"/>
        <color rgb="FF000000"/>
        <rFont val="Noto Sans CJK SC"/>
        <family val="2"/>
      </rPr>
      <t>종은 확정본이 아닙니다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추가가 필요한 근태코드는 표 하단의 빈 행에 직접 기재해 주시고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삭제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명칭 변경이 필요한 항목은 비고란에 기재해 주십시오</t>
    </r>
    <r>
      <rPr>
        <sz val="9"/>
        <color rgb="FF000000"/>
        <rFont val="맑은 고딕"/>
        <family val="3"/>
        <charset val="129"/>
      </rPr>
      <t>.</t>
    </r>
  </si>
  <si>
    <t>No</t>
  </si>
  <si>
    <t>근태코드</t>
  </si>
  <si>
    <t>코드명</t>
  </si>
  <si>
    <r>
      <rPr>
        <b/>
        <sz val="9"/>
        <color rgb="FFFFFFFF"/>
        <rFont val="Noto Sans CJK SC"/>
        <family val="2"/>
      </rPr>
      <t>근태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</si>
  <si>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근무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시간</t>
    </r>
    <r>
      <rPr>
        <b/>
        <sz val="9"/>
        <color rgb="FFFFFFFF"/>
        <rFont val="맑은 고딕"/>
        <family val="3"/>
        <charset val="129"/>
      </rPr>
      <t>)</t>
    </r>
  </si>
  <si>
    <t>차감근태</t>
  </si>
  <si>
    <r>
      <rPr>
        <b/>
        <sz val="9"/>
        <color rgb="FFFFFFFF"/>
        <rFont val="Noto Sans CJK SC"/>
        <family val="2"/>
      </rPr>
      <t>적용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차감</t>
    </r>
    <r>
      <rPr>
        <b/>
        <sz val="9"/>
        <color rgb="FFFFFFFF"/>
        <rFont val="맑은 고딕"/>
        <family val="3"/>
        <charset val="129"/>
      </rPr>
      <t xml:space="preserve">)
</t>
    </r>
    <r>
      <rPr>
        <b/>
        <sz val="9"/>
        <color rgb="FFFFFFFF"/>
        <rFont val="Noto Sans CJK SC"/>
        <family val="2"/>
      </rPr>
      <t>일수</t>
    </r>
  </si>
  <si>
    <r>
      <rPr>
        <b/>
        <sz val="9"/>
        <color rgb="FFFFFFFF"/>
        <rFont val="Noto Sans CJK SC"/>
        <family val="2"/>
      </rPr>
      <t xml:space="preserve">생성근태 여부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선택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</si>
  <si>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부여기준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생성근태인 경우 작성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</si>
  <si>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비고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변경요청</t>
    </r>
  </si>
  <si>
    <t>4100</t>
  </si>
  <si>
    <t>연차휴가</t>
  </si>
  <si>
    <t>Y</t>
  </si>
  <si>
    <t>N</t>
  </si>
  <si>
    <t>☑</t>
  </si>
  <si>
    <r>
      <rPr>
        <sz val="8"/>
        <color rgb="FF000000"/>
        <rFont val="맑은 고딕"/>
        <family val="3"/>
        <charset val="129"/>
      </rPr>
      <t xml:space="preserve">ex) </t>
    </r>
    <r>
      <rPr>
        <sz val="8"/>
        <color rgb="FF000000"/>
        <rFont val="Noto Sans CJK SC"/>
        <family val="2"/>
      </rPr>
      <t xml:space="preserve">매년 </t>
    </r>
    <r>
      <rPr>
        <sz val="8"/>
        <color rgb="FF000000"/>
        <rFont val="맑은 고딕"/>
        <family val="3"/>
        <charset val="129"/>
      </rPr>
      <t xml:space="preserve">1/1 </t>
    </r>
    <r>
      <rPr>
        <sz val="8"/>
        <color rgb="FF000000"/>
        <rFont val="Noto Sans CJK SC"/>
        <family val="2"/>
      </rPr>
      <t xml:space="preserve">일괄부여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입사 </t>
    </r>
    <r>
      <rPr>
        <sz val="8"/>
        <color rgb="FF000000"/>
        <rFont val="맑은 고딕"/>
        <family val="3"/>
        <charset val="129"/>
      </rPr>
      <t>1</t>
    </r>
    <r>
      <rPr>
        <sz val="8"/>
        <color rgb="FF000000"/>
        <rFont val="Noto Sans CJK SC"/>
        <family val="2"/>
      </rPr>
      <t xml:space="preserve">년 미만 월 </t>
    </r>
    <r>
      <rPr>
        <sz val="8"/>
        <color rgb="FF000000"/>
        <rFont val="맑은 고딕"/>
        <family val="3"/>
        <charset val="129"/>
      </rPr>
      <t>1</t>
    </r>
    <r>
      <rPr>
        <sz val="8"/>
        <color rgb="FF000000"/>
        <rFont val="Noto Sans CJK SC"/>
        <family val="2"/>
      </rPr>
      <t xml:space="preserve">일 </t>
    </r>
    <r>
      <rPr>
        <sz val="8"/>
        <color rgb="FF000000"/>
        <rFont val="맑은 고딕"/>
        <family val="3"/>
        <charset val="129"/>
      </rPr>
      <t xml:space="preserve">/ </t>
    </r>
    <r>
      <rPr>
        <sz val="8"/>
        <color rgb="FF000000"/>
        <rFont val="Noto Sans CJK SC"/>
        <family val="2"/>
      </rPr>
      <t xml:space="preserve">이월 여부 </t>
    </r>
    <r>
      <rPr>
        <sz val="8"/>
        <color rgb="FF000000"/>
        <rFont val="맑은 고딕"/>
        <family val="3"/>
        <charset val="129"/>
      </rPr>
      <t>Y</t>
    </r>
  </si>
  <si>
    <t>4110</t>
  </si>
  <si>
    <r>
      <rPr>
        <sz val="9"/>
        <color rgb="FF000000"/>
        <rFont val="Noto Sans CJK SC"/>
        <family val="2"/>
      </rPr>
      <t>반차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오전</t>
    </r>
    <r>
      <rPr>
        <sz val="9"/>
        <color rgb="FF000000"/>
        <rFont val="맑은 고딕"/>
        <family val="3"/>
        <charset val="129"/>
      </rPr>
      <t>)</t>
    </r>
  </si>
  <si>
    <t>☐</t>
  </si>
  <si>
    <t>4120</t>
  </si>
  <si>
    <r>
      <rPr>
        <sz val="9"/>
        <color rgb="FF000000"/>
        <rFont val="Noto Sans CJK SC"/>
        <family val="2"/>
      </rPr>
      <t>반차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오후</t>
    </r>
    <r>
      <rPr>
        <sz val="9"/>
        <color rgb="FF000000"/>
        <rFont val="맑은 고딕"/>
        <family val="3"/>
        <charset val="129"/>
      </rPr>
      <t>)</t>
    </r>
  </si>
  <si>
    <t>6100</t>
  </si>
  <si>
    <t>대체휴무</t>
  </si>
  <si>
    <t>5000</t>
  </si>
  <si>
    <t>경조휴가</t>
  </si>
  <si>
    <t>5100</t>
  </si>
  <si>
    <t>공가</t>
  </si>
  <si>
    <t>5200</t>
  </si>
  <si>
    <t>생리휴가</t>
  </si>
  <si>
    <t>5300</t>
  </si>
  <si>
    <t>출산전후휴가</t>
  </si>
  <si>
    <t>5310</t>
  </si>
  <si>
    <r>
      <rPr>
        <sz val="9"/>
        <color rgb="FF000000"/>
        <rFont val="Noto Sans CJK SC"/>
        <family val="2"/>
      </rPr>
      <t>유산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사산휴가</t>
    </r>
  </si>
  <si>
    <t>5400</t>
  </si>
  <si>
    <t>배우자출산휴가</t>
  </si>
  <si>
    <t>5500</t>
  </si>
  <si>
    <t>난임휴가</t>
  </si>
  <si>
    <t>5800</t>
  </si>
  <si>
    <t>가족돌봄휴가</t>
  </si>
  <si>
    <t>2000</t>
  </si>
  <si>
    <t>교육</t>
  </si>
  <si>
    <t>2100</t>
  </si>
  <si>
    <t>출장</t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</si>
  <si>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추가하실 근태코드를 작성해 주세요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</si>
  <si>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4"/>
        <color rgb="FFFFFFFF"/>
        <rFont val="맑은 고딕"/>
        <family val="3"/>
        <charset val="129"/>
      </rPr>
      <t xml:space="preserve">2-1. </t>
    </r>
    <r>
      <rPr>
        <b/>
        <sz val="14"/>
        <color rgb="FFFFFFFF"/>
        <rFont val="Noto Sans CJK SC"/>
        <family val="2"/>
      </rPr>
      <t>근무유형</t>
    </r>
    <r>
      <rPr>
        <b/>
        <sz val="14"/>
        <color rgb="FFFFFFFF"/>
        <rFont val="맑은 고딕"/>
        <family val="3"/>
        <charset val="129"/>
      </rPr>
      <t xml:space="preserve">(Day) </t>
    </r>
    <r>
      <rPr>
        <b/>
        <sz val="14"/>
        <color rgb="FFFFFFFF"/>
        <rFont val="Noto Sans CJK SC"/>
        <family val="2"/>
      </rPr>
      <t xml:space="preserve">목록 </t>
    </r>
    <r>
      <rPr>
        <b/>
        <sz val="14"/>
        <color rgb="FFFFFFFF"/>
        <rFont val="맑은 고딕"/>
        <family val="3"/>
        <charset val="129"/>
      </rPr>
      <t xml:space="preserve">- </t>
    </r>
    <r>
      <rPr>
        <b/>
        <sz val="14"/>
        <color rgb="FFFFFFFF"/>
        <rFont val="Noto Sans CJK SC"/>
        <family val="2"/>
      </rPr>
      <t xml:space="preserve">명칭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 xml:space="preserve">계획시간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휴게시간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</si>
  <si>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근무유형이란</t>
    </r>
    <r>
      <rPr>
        <sz val="9"/>
        <color rgb="FF000000"/>
        <rFont val="맑은 고딕"/>
        <family val="3"/>
        <charset val="129"/>
      </rPr>
      <t xml:space="preserve">]
</t>
    </r>
    <r>
      <rPr>
        <sz val="9"/>
        <color rgb="FF000000"/>
        <rFont val="Noto Sans CJK SC"/>
        <family val="2"/>
      </rPr>
      <t>하루</t>
    </r>
    <r>
      <rPr>
        <sz val="9"/>
        <color rgb="FF000000"/>
        <rFont val="맑은 고딕"/>
        <family val="3"/>
        <charset val="129"/>
      </rPr>
      <t xml:space="preserve">(Day) </t>
    </r>
    <r>
      <rPr>
        <sz val="9"/>
        <color rgb="FF000000"/>
        <rFont val="Noto Sans CJK SC"/>
        <family val="2"/>
      </rPr>
      <t>단위의 근무 스케줄입니다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출근 예정시각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퇴근 예정시각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휴게시간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소정근무시간을 정의하며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실제 출퇴근 기록은 이 계획시간과 비교되어 지각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조퇴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연장이 판정됩니다</t>
    </r>
    <r>
      <rPr>
        <sz val="9"/>
        <color rgb="FF000000"/>
        <rFont val="맑은 고딕"/>
        <family val="3"/>
        <charset val="129"/>
      </rPr>
      <t xml:space="preserve">.
[HCG </t>
    </r>
    <r>
      <rPr>
        <sz val="9"/>
        <color rgb="FF000000"/>
        <rFont val="Noto Sans CJK SC"/>
        <family val="2"/>
      </rPr>
      <t>설정안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취업규칙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기본 </t>
    </r>
    <r>
      <rPr>
        <sz val="9"/>
        <color rgb="FF000000"/>
        <rFont val="맑은 고딕"/>
        <family val="3"/>
        <charset val="129"/>
      </rPr>
      <t xml:space="preserve">09:00-18:00 / </t>
    </r>
    <r>
      <rPr>
        <sz val="9"/>
        <color rgb="FF000000"/>
        <rFont val="Noto Sans CJK SC"/>
        <family val="2"/>
      </rPr>
      <t xml:space="preserve">시차출퇴근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재택</t>
    </r>
    <r>
      <rPr>
        <sz val="9"/>
        <color rgb="FF000000"/>
        <rFont val="맑은 고딕"/>
        <family val="3"/>
        <charset val="129"/>
      </rPr>
      <t xml:space="preserve">), </t>
    </r>
    <r>
      <rPr>
        <sz val="9"/>
        <color rgb="FF000000"/>
        <rFont val="Noto Sans CJK SC"/>
        <family val="2"/>
      </rPr>
      <t>모성보호 단축근무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제주 야크마을 근무표의 교대코드를 반영하여 아래와 같이 구성하였습니다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제주 교대는 근무표에 표기되는 교대코드를 명칭 앞에 두고 계획시간을 괄호로 표기하였습니다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시간이 같아도 파트별 표기가 다른 경우</t>
    </r>
    <r>
      <rPr>
        <sz val="9"/>
        <color rgb="FF000000"/>
        <rFont val="맑은 고딕"/>
        <family val="3"/>
        <charset val="129"/>
      </rPr>
      <t>(I)</t>
    </r>
    <r>
      <rPr>
        <sz val="9"/>
        <color rgb="FF000000"/>
        <rFont val="Noto Sans CJK SC"/>
        <family val="2"/>
      </rPr>
      <t>는 별도 유형으로 분리하였습니다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사용여부에 ☑ </t>
    </r>
    <r>
      <rPr>
        <sz val="9"/>
        <color rgb="FF000000"/>
        <rFont val="맑은 고딕"/>
        <family val="3"/>
        <charset val="129"/>
      </rPr>
      <t>/ ☐</t>
    </r>
    <r>
      <rPr>
        <sz val="9"/>
        <color rgb="FF000000"/>
        <rFont val="Noto Sans CJK SC"/>
        <family val="2"/>
      </rPr>
      <t>를 표시하고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제주 교대조의 휴게시간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시작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종료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을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없는 유형은 빈 행에 추가 기재해 주십시오</t>
    </r>
    <r>
      <rPr>
        <sz val="9"/>
        <color rgb="FF000000"/>
        <rFont val="맑은 고딕"/>
        <family val="3"/>
        <charset val="129"/>
      </rPr>
      <t xml:space="preserve">.
※ </t>
    </r>
    <r>
      <rPr>
        <sz val="9"/>
        <color rgb="FF000000"/>
        <rFont val="Noto Sans CJK SC"/>
        <family val="2"/>
      </rPr>
      <t>이 시트가 근무유형 마스터입니다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여기에 근무유형을 추가하거나 계획시간을 수정하시면 </t>
    </r>
    <r>
      <rPr>
        <sz val="9"/>
        <color rgb="FF000000"/>
        <rFont val="맑은 고딕"/>
        <family val="3"/>
        <charset val="129"/>
      </rPr>
      <t>2-2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맑은 고딕"/>
        <family val="3"/>
        <charset val="129"/>
      </rPr>
      <t>2-3</t>
    </r>
    <r>
      <rPr>
        <sz val="9"/>
        <color rgb="FF000000"/>
        <rFont val="Noto Sans CJK SC"/>
        <family val="2"/>
      </rPr>
      <t>의 해당 행에 자동으로 반영됩니다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</si>
  <si>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9"/>
        <color rgb="FFFFFFFF"/>
        <rFont val="Noto Sans CJK SC"/>
        <family val="2"/>
      </rPr>
      <t xml:space="preserve">사용여부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선택</t>
    </r>
    <r>
      <rPr>
        <b/>
        <sz val="9"/>
        <color rgb="FFFFFFFF"/>
        <rFont val="맑은 고딕"/>
        <family val="3"/>
        <charset val="129"/>
      </rPr>
      <t>)</t>
    </r>
  </si>
  <si>
    <t>구분</t>
  </si>
  <si>
    <t>근무유형 명칭</t>
  </si>
  <si>
    <t>근무형태</t>
  </si>
  <si>
    <t>출근시각</t>
  </si>
  <si>
    <t>퇴근시각</t>
  </si>
  <si>
    <t>휴게 시작</t>
  </si>
  <si>
    <t>휴게 종료</t>
  </si>
  <si>
    <r>
      <rPr>
        <b/>
        <sz val="9"/>
        <color rgb="FFFFFFFF"/>
        <rFont val="Noto Sans CJK SC"/>
        <family val="2"/>
      </rPr>
      <t xml:space="preserve">휴게시간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분</t>
    </r>
    <r>
      <rPr>
        <b/>
        <sz val="9"/>
        <color rgb="FFFFFFFF"/>
        <rFont val="맑은 고딕"/>
        <family val="3"/>
        <charset val="129"/>
      </rPr>
      <t>)</t>
    </r>
  </si>
  <si>
    <t>소정근무
시간</t>
  </si>
  <si>
    <r>
      <rPr>
        <b/>
        <sz val="9"/>
        <color rgb="FFFFFFFF"/>
        <rFont val="Noto Sans CJK SC"/>
        <family val="2"/>
      </rPr>
      <t xml:space="preserve">비고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 xml:space="preserve">적용 대상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근거</t>
    </r>
    <r>
      <rPr>
        <b/>
        <sz val="9"/>
        <color rgb="FFFFFFFF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</si>
  <si>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본사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물류</t>
    </r>
  </si>
  <si>
    <r>
      <rPr>
        <sz val="9"/>
        <color rgb="FF000000"/>
        <rFont val="Noto Sans CJK SC"/>
        <family val="2"/>
      </rPr>
      <t>기본</t>
    </r>
    <r>
      <rPr>
        <sz val="9"/>
        <color rgb="FF000000"/>
        <rFont val="맑은 고딕"/>
        <family val="3"/>
        <charset val="129"/>
      </rPr>
      <t>(09:00-18:00)</t>
    </r>
  </si>
  <si>
    <t>평일</t>
  </si>
  <si>
    <t>09:00</t>
  </si>
  <si>
    <t>18:00</t>
  </si>
  <si>
    <t>12:00</t>
  </si>
  <si>
    <t>13:00</t>
  </si>
  <si>
    <r>
      <rPr>
        <sz val="9"/>
        <color rgb="FF000000"/>
        <rFont val="Noto Sans CJK SC"/>
        <family val="2"/>
      </rPr>
      <t>시차</t>
    </r>
    <r>
      <rPr>
        <sz val="9"/>
        <color rgb="FF000000"/>
        <rFont val="맑은 고딕"/>
        <family val="3"/>
        <charset val="129"/>
      </rPr>
      <t>(08:00-17:00)</t>
    </r>
  </si>
  <si>
    <t>08:00</t>
  </si>
  <si>
    <t>17:00</t>
  </si>
  <si>
    <r>
      <rPr>
        <sz val="9"/>
        <color rgb="FF000000"/>
        <rFont val="Noto Sans CJK SC"/>
        <family val="2"/>
      </rPr>
      <t>재택</t>
    </r>
    <r>
      <rPr>
        <sz val="9"/>
        <color rgb="FF000000"/>
        <rFont val="맑은 고딕"/>
        <family val="3"/>
        <charset val="129"/>
      </rPr>
      <t>(09:00-18:00)</t>
    </r>
  </si>
  <si>
    <t>모성보호</t>
  </si>
  <si>
    <r>
      <rPr>
        <sz val="9"/>
        <color rgb="FF000000"/>
        <rFont val="Noto Sans CJK SC"/>
        <family val="2"/>
      </rPr>
      <t>임신기단축</t>
    </r>
    <r>
      <rPr>
        <sz val="9"/>
        <color rgb="FF000000"/>
        <rFont val="맑은 고딕"/>
        <family val="3"/>
        <charset val="129"/>
      </rPr>
      <t>(08:00-15:00)</t>
    </r>
  </si>
  <si>
    <t>15:00</t>
  </si>
  <si>
    <r>
      <rPr>
        <sz val="9"/>
        <color rgb="FF000000"/>
        <rFont val="Noto Sans CJK SC"/>
        <family val="2"/>
      </rPr>
      <t>임신기단축</t>
    </r>
    <r>
      <rPr>
        <sz val="9"/>
        <color rgb="FF000000"/>
        <rFont val="맑은 고딕"/>
        <family val="3"/>
        <charset val="129"/>
      </rPr>
      <t>(09:00-16:00)</t>
    </r>
  </si>
  <si>
    <t>16:00</t>
  </si>
  <si>
    <r>
      <rPr>
        <sz val="9"/>
        <color rgb="FF000000"/>
        <rFont val="Noto Sans CJK SC"/>
        <family val="2"/>
      </rPr>
      <t>임신기단축</t>
    </r>
    <r>
      <rPr>
        <sz val="9"/>
        <color rgb="FF000000"/>
        <rFont val="맑은 고딕"/>
        <family val="3"/>
        <charset val="129"/>
      </rPr>
      <t>(10:00-17:00)</t>
    </r>
  </si>
  <si>
    <t>10:00</t>
  </si>
  <si>
    <r>
      <rPr>
        <sz val="9"/>
        <color rgb="FF000000"/>
        <rFont val="Noto Sans CJK SC"/>
        <family val="2"/>
      </rPr>
      <t>임신기단축</t>
    </r>
    <r>
      <rPr>
        <sz val="9"/>
        <color rgb="FF000000"/>
        <rFont val="맑은 고딕"/>
        <family val="3"/>
        <charset val="129"/>
      </rPr>
      <t>(11:00-18:00)</t>
    </r>
  </si>
  <si>
    <t>11:00</t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</si>
  <si>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(09:00-17:00)</t>
    </r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</si>
  <si>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(09:00-16:00)</t>
    </r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</si>
  <si>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(09:00-15:00)</t>
    </r>
  </si>
  <si>
    <t>제주 교대</t>
  </si>
  <si>
    <t>A(06:00-15:00)</t>
  </si>
  <si>
    <t>06:00</t>
  </si>
  <si>
    <t>B(07:00-16:00)</t>
  </si>
  <si>
    <t>07:00</t>
  </si>
  <si>
    <t>B1(07:30-16:30)</t>
  </si>
  <si>
    <t>07:30</t>
  </si>
  <si>
    <t>16:30</t>
  </si>
  <si>
    <t>C(08:00-17:00)</t>
  </si>
  <si>
    <t>C1(08:30-17:30)</t>
  </si>
  <si>
    <t>08:30</t>
  </si>
  <si>
    <t>17:30</t>
  </si>
  <si>
    <t>D(09:00-18:00)</t>
  </si>
  <si>
    <t>E(10:00-19:00)</t>
  </si>
  <si>
    <t>19:00</t>
  </si>
  <si>
    <t>F(11:00-20:00)</t>
  </si>
  <si>
    <t>20:00</t>
  </si>
  <si>
    <t>G(12:00-21:00)</t>
  </si>
  <si>
    <t>21:00</t>
  </si>
  <si>
    <t>H(13:00-22:00)</t>
  </si>
  <si>
    <t>22:00</t>
  </si>
  <si>
    <t>I(13:00-22:00)</t>
  </si>
  <si>
    <t>I(14:00-23:00)</t>
  </si>
  <si>
    <t>14:00</t>
  </si>
  <si>
    <t>23:00</t>
  </si>
  <si>
    <r>
      <rPr>
        <sz val="9"/>
        <color rgb="FF000000"/>
        <rFont val="맑은 고딕"/>
        <family val="3"/>
        <charset val="129"/>
      </rPr>
      <t>R(23:00-</t>
    </r>
    <r>
      <rPr>
        <sz val="9"/>
        <color rgb="FF000000"/>
        <rFont val="Noto Sans CJK SC"/>
        <family val="2"/>
      </rPr>
      <t>익일</t>
    </r>
    <r>
      <rPr>
        <sz val="9"/>
        <color rgb="FF000000"/>
        <rFont val="맑은 고딕"/>
        <family val="3"/>
        <charset val="129"/>
      </rPr>
      <t>08:00)</t>
    </r>
  </si>
  <si>
    <r>
      <rPr>
        <sz val="9"/>
        <color rgb="FF000000"/>
        <rFont val="Noto Sans CJK SC"/>
        <family val="2"/>
      </rPr>
      <t>야</t>
    </r>
    <r>
      <rPr>
        <sz val="9"/>
        <color rgb="FF000000"/>
        <rFont val="맑은 고딕"/>
        <family val="3"/>
        <charset val="129"/>
      </rPr>
      <t>(13:00-</t>
    </r>
    <r>
      <rPr>
        <sz val="9"/>
        <color rgb="FF000000"/>
        <rFont val="Noto Sans CJK SC"/>
        <family val="2"/>
      </rPr>
      <t>익일</t>
    </r>
    <r>
      <rPr>
        <sz val="9"/>
        <color rgb="FF000000"/>
        <rFont val="맑은 고딕"/>
        <family val="3"/>
        <charset val="129"/>
      </rPr>
      <t>09:00)</t>
    </r>
  </si>
  <si>
    <r>
      <rPr>
        <sz val="9"/>
        <color rgb="FF000000"/>
        <rFont val="Noto Sans CJK SC"/>
        <family val="2"/>
      </rPr>
      <t>비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비번</t>
    </r>
    <r>
      <rPr>
        <sz val="9"/>
        <color rgb="FF000000"/>
        <rFont val="맑은 고딕"/>
        <family val="3"/>
        <charset val="129"/>
      </rPr>
      <t>)</t>
    </r>
  </si>
  <si>
    <t>공통</t>
  </si>
  <si>
    <t>휴일</t>
  </si>
  <si>
    <t>공휴</t>
  </si>
  <si>
    <t>휴무</t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</si>
  <si>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추가하실 근무유형을 작성해 주세요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</si>
  <si>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4"/>
        <color rgb="FFFFFFFF"/>
        <rFont val="맑은 고딕"/>
        <family val="3"/>
        <charset val="129"/>
      </rPr>
      <t xml:space="preserve">2-2. </t>
    </r>
    <r>
      <rPr>
        <b/>
        <sz val="14"/>
        <color rgb="FFFFFFFF"/>
        <rFont val="Noto Sans CJK SC"/>
        <family val="2"/>
      </rPr>
      <t>근무유형별 근태코드 시간 정의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</si>
  <si>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자동 연동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근무유형 명칭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계획 근무시간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반차 시간대는 </t>
    </r>
    <r>
      <rPr>
        <sz val="9"/>
        <color rgb="FF000000"/>
        <rFont val="맑은 고딕"/>
        <family val="3"/>
        <charset val="129"/>
      </rPr>
      <t>2-1.</t>
    </r>
    <r>
      <rPr>
        <sz val="9"/>
        <color rgb="FF000000"/>
        <rFont val="Noto Sans CJK SC"/>
        <family val="2"/>
      </rPr>
      <t>근무유형 시트에서 자동으로 가져옵니다</t>
    </r>
    <r>
      <rPr>
        <sz val="9"/>
        <color rgb="FF000000"/>
        <rFont val="맑은 고딕"/>
        <family val="3"/>
        <charset val="129"/>
      </rPr>
      <t>.
2-1</t>
    </r>
    <r>
      <rPr>
        <sz val="9"/>
        <color rgb="FF000000"/>
        <rFont val="Noto Sans CJK SC"/>
        <family val="2"/>
      </rPr>
      <t>에 근무유형을 추가하거나 계획시간을 수정하시면 이 시트의 같은 행에 자동 반영되므로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이 시트에서 명칭을 직접 수정하지 마십시오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산출 기준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오전 반차는 출근시각부터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오후 반차는 퇴근시각까지이며 경계시각은 소정근무시간의 절반 지점으로 계산합니다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휴게시간이 오전 구간에 포함되면 그만큼 뒤로 밀어 계산합니다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자동 산출된 시간대가 실제 운영과 다르면 비고란에 수정 시각을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제주 교대조는 </t>
    </r>
    <r>
      <rPr>
        <sz val="9"/>
        <color rgb="FF000000"/>
        <rFont val="맑은 고딕"/>
        <family val="3"/>
        <charset val="129"/>
      </rPr>
      <t>2-1</t>
    </r>
    <r>
      <rPr>
        <sz val="9"/>
        <color rgb="FF000000"/>
        <rFont val="Noto Sans CJK SC"/>
        <family val="2"/>
      </rPr>
      <t>에서 휴게시간을 기재하셔야 값이 채워집니다</t>
    </r>
    <r>
      <rPr>
        <sz val="9"/>
        <color rgb="FF000000"/>
        <rFont val="맑은 고딕"/>
        <family val="3"/>
        <charset val="129"/>
      </rPr>
      <t>.</t>
    </r>
  </si>
  <si>
    <t>계획 근무시간</t>
  </si>
  <si>
    <r>
      <rPr>
        <b/>
        <sz val="9"/>
        <color rgb="FFFFFFFF"/>
        <rFont val="맑은 고딕"/>
        <family val="3"/>
        <charset val="129"/>
      </rPr>
      <t xml:space="preserve">4110 </t>
    </r>
    <r>
      <rPr>
        <b/>
        <sz val="9"/>
        <color rgb="FFFFFFFF"/>
        <rFont val="Noto Sans CJK SC"/>
        <family val="2"/>
      </rPr>
      <t>반차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오전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</si>
  <si>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맑은 고딕"/>
        <family val="3"/>
        <charset val="129"/>
      </rPr>
      <t xml:space="preserve">4120 </t>
    </r>
    <r>
      <rPr>
        <b/>
        <sz val="9"/>
        <color rgb="FFFFFFFF"/>
        <rFont val="Noto Sans CJK SC"/>
        <family val="2"/>
      </rPr>
      <t>반차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오후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</si>
  <si>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비고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수정요청</t>
    </r>
  </si>
  <si>
    <t>시작</t>
  </si>
  <si>
    <t>종료</t>
  </si>
  <si>
    <r>
      <rPr>
        <b/>
        <sz val="14"/>
        <color rgb="FFFFFFFF"/>
        <rFont val="맑은 고딕"/>
        <family val="3"/>
        <charset val="129"/>
      </rPr>
      <t xml:space="preserve">2-3. </t>
    </r>
    <r>
      <rPr>
        <b/>
        <sz val="14"/>
        <color rgb="FFFFFFFF"/>
        <rFont val="Noto Sans CJK SC"/>
        <family val="2"/>
      </rPr>
      <t xml:space="preserve">근무유형별 지각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조퇴 판정 기준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</si>
  <si>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자동 연동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근무유형 명칭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계획 근무시간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지각 및 조퇴 기준시각은 </t>
    </r>
    <r>
      <rPr>
        <sz val="9"/>
        <color rgb="FF000000"/>
        <rFont val="맑은 고딕"/>
        <family val="3"/>
        <charset val="129"/>
      </rPr>
      <t>2-1.</t>
    </r>
    <r>
      <rPr>
        <sz val="9"/>
        <color rgb="FF000000"/>
        <rFont val="Noto Sans CJK SC"/>
        <family val="2"/>
      </rPr>
      <t>근무유형 시트에서 자동으로 가져옵니다</t>
    </r>
    <r>
      <rPr>
        <sz val="9"/>
        <color rgb="FF000000"/>
        <rFont val="맑은 고딕"/>
        <family val="3"/>
        <charset val="129"/>
      </rPr>
      <t>.
2-1</t>
    </r>
    <r>
      <rPr>
        <sz val="9"/>
        <color rgb="FF000000"/>
        <rFont val="Noto Sans CJK SC"/>
        <family val="2"/>
      </rPr>
      <t>에 근무유형을 추가하거나 계획시간을 수정하시면 이 시트의 같은 행에 자동 반영되므로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이 시트에서 명칭을 직접 수정하지 마십시오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노란색 칸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유예시간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올림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버림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지각 판정 제외 여부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을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유예를 두지 않으면 </t>
    </r>
    <r>
      <rPr>
        <sz val="9"/>
        <color rgb="FF000000"/>
        <rFont val="맑은 고딕"/>
        <family val="3"/>
        <charset val="129"/>
      </rPr>
      <t>0</t>
    </r>
    <r>
      <rPr>
        <sz val="9"/>
        <color rgb="FF000000"/>
        <rFont val="Noto Sans CJK SC"/>
        <family val="2"/>
      </rPr>
      <t>을 입력해 주십시오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 xml:space="preserve">지각 기준시각 </t>
    </r>
    <r>
      <rPr>
        <sz val="9"/>
        <color rgb="FF000000"/>
        <rFont val="맑은 고딕"/>
        <family val="3"/>
        <charset val="129"/>
      </rPr>
      <t xml:space="preserve">= </t>
    </r>
    <r>
      <rPr>
        <sz val="9"/>
        <color rgb="FF000000"/>
        <rFont val="Noto Sans CJK SC"/>
        <family val="2"/>
      </rPr>
      <t>이 시각을 넘겨 출근하면 지각으로 판정합니다</t>
    </r>
    <r>
      <rPr>
        <sz val="9"/>
        <color rgb="FF000000"/>
        <rFont val="맑은 고딕"/>
        <family val="3"/>
        <charset val="129"/>
      </rPr>
      <t xml:space="preserve">.   </t>
    </r>
    <r>
      <rPr>
        <sz val="9"/>
        <color rgb="FF000000"/>
        <rFont val="Noto Sans CJK SC"/>
        <family val="2"/>
      </rPr>
      <t xml:space="preserve">조퇴 기준시각 </t>
    </r>
    <r>
      <rPr>
        <sz val="9"/>
        <color rgb="FF000000"/>
        <rFont val="맑은 고딕"/>
        <family val="3"/>
        <charset val="129"/>
      </rPr>
      <t xml:space="preserve">= </t>
    </r>
    <r>
      <rPr>
        <sz val="9"/>
        <color rgb="FF000000"/>
        <rFont val="Noto Sans CJK SC"/>
        <family val="2"/>
      </rPr>
      <t>이 시각보다 먼저 퇴근하면 조퇴로 판정합니다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참고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취업규칙 제</t>
    </r>
    <r>
      <rPr>
        <sz val="9"/>
        <color rgb="FF000000"/>
        <rFont val="맑은 고딕"/>
        <family val="3"/>
        <charset val="129"/>
      </rPr>
      <t>39</t>
    </r>
    <r>
      <rPr>
        <sz val="9"/>
        <color rgb="FF000000"/>
        <rFont val="Noto Sans CJK SC"/>
        <family val="2"/>
      </rPr>
      <t>조상 조퇴 및 외출은 무급 처리가 원칙이며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지각에 대한 공제 기준은 별도로 정해져 있지 않습니다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지각 공제 운영 여부를 비고란에 함께 회신해 주십시오</t>
    </r>
    <r>
      <rPr>
        <sz val="9"/>
        <color rgb="FF000000"/>
        <rFont val="맑은 고딕"/>
        <family val="3"/>
        <charset val="129"/>
      </rPr>
      <t>.</t>
    </r>
  </si>
  <si>
    <t>지각</t>
  </si>
  <si>
    <t>조퇴</t>
  </si>
  <si>
    <t>지각 판정
제외 여부</t>
  </si>
  <si>
    <r>
      <rPr>
        <b/>
        <sz val="9"/>
        <color rgb="FFFFFFFF"/>
        <rFont val="Noto Sans CJK SC"/>
        <family val="2"/>
      </rPr>
      <t xml:space="preserve">비고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근무유형별 특이 규정</t>
    </r>
    <r>
      <rPr>
        <b/>
        <sz val="9"/>
        <color rgb="FFFFFFFF"/>
        <rFont val="맑은 고딕"/>
        <family val="3"/>
        <charset val="129"/>
      </rPr>
      <t>)</t>
    </r>
  </si>
  <si>
    <t>기준시각</t>
  </si>
  <si>
    <r>
      <rPr>
        <b/>
        <sz val="9"/>
        <color rgb="FFFFFFFF"/>
        <rFont val="Noto Sans CJK SC"/>
        <family val="2"/>
      </rPr>
      <t>유예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분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</si>
  <si>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올림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버림</t>
    </r>
  </si>
  <si>
    <r>
      <rPr>
        <b/>
        <sz val="14"/>
        <color rgb="FFFFFFFF"/>
        <rFont val="맑은 고딕"/>
        <family val="3"/>
        <charset val="129"/>
      </rPr>
      <t xml:space="preserve">3. </t>
    </r>
    <r>
      <rPr>
        <b/>
        <sz val="14"/>
        <color rgb="FFFFFFFF"/>
        <rFont val="Noto Sans CJK SC"/>
        <family val="2"/>
      </rPr>
      <t>근로유형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>정산</t>
    </r>
    <r>
      <rPr>
        <b/>
        <sz val="14"/>
        <color rgb="FFFFFFFF"/>
        <rFont val="맑은 고딕"/>
        <family val="3"/>
        <charset val="129"/>
      </rPr>
      <t xml:space="preserve">) </t>
    </r>
    <r>
      <rPr>
        <b/>
        <sz val="14"/>
        <color rgb="FFFFFFFF"/>
        <rFont val="Noto Sans CJK SC"/>
        <family val="2"/>
      </rPr>
      <t xml:space="preserve">정의 </t>
    </r>
    <r>
      <rPr>
        <b/>
        <sz val="14"/>
        <color rgb="FFFFFFFF"/>
        <rFont val="맑은 고딕"/>
        <family val="3"/>
        <charset val="129"/>
      </rPr>
      <t xml:space="preserve">- </t>
    </r>
    <r>
      <rPr>
        <b/>
        <sz val="14"/>
        <color rgb="FFFFFFFF"/>
        <rFont val="Noto Sans CJK SC"/>
        <family val="2"/>
      </rPr>
      <t xml:space="preserve">소정근로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 xml:space="preserve">연장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대체휴가 기준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</si>
  <si>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근로유형이란</t>
    </r>
    <r>
      <rPr>
        <sz val="9"/>
        <color rgb="FF000000"/>
        <rFont val="맑은 고딕"/>
        <family val="3"/>
        <charset val="129"/>
      </rPr>
      <t xml:space="preserve">]
</t>
    </r>
    <r>
      <rPr>
        <sz val="9"/>
        <color rgb="FF000000"/>
        <rFont val="Noto Sans CJK SC"/>
        <family val="2"/>
      </rPr>
      <t>근무유형</t>
    </r>
    <r>
      <rPr>
        <sz val="9"/>
        <color rgb="FF000000"/>
        <rFont val="맑은 고딕"/>
        <family val="3"/>
        <charset val="129"/>
      </rPr>
      <t>(Day)</t>
    </r>
    <r>
      <rPr>
        <sz val="9"/>
        <color rgb="FF000000"/>
        <rFont val="Noto Sans CJK SC"/>
        <family val="2"/>
      </rPr>
      <t>이 하루의 스케줄이라면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근로유형은 그 근무를 어떤 기준으로 정산할지를 정의합니다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주 소정근로시간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법정근로시간 대비 초과분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연장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>산정 방식이 여기에 연동됩니다</t>
    </r>
    <r>
      <rPr>
        <sz val="9"/>
        <color rgb="FF000000"/>
        <rFont val="맑은 고딕"/>
        <family val="3"/>
        <charset val="129"/>
      </rPr>
      <t xml:space="preserve">.
[HCG </t>
    </r>
    <r>
      <rPr>
        <sz val="9"/>
        <color rgb="FF000000"/>
        <rFont val="Noto Sans CJK SC"/>
        <family val="2"/>
      </rPr>
      <t>설정안</t>
    </r>
    <r>
      <rPr>
        <sz val="9"/>
        <color rgb="FF000000"/>
        <rFont val="맑은 고딕"/>
        <family val="3"/>
        <charset val="129"/>
      </rPr>
      <t>] BYN</t>
    </r>
    <r>
      <rPr>
        <sz val="9"/>
        <color rgb="FF000000"/>
        <rFont val="Noto Sans CJK SC"/>
        <family val="2"/>
      </rPr>
      <t xml:space="preserve">은 사무직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생산직 구분이 없어 표준 근로를 기본 하나로 통일하고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모성보호 단축근무만 단축시간별로 분리하였습니다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 xml:space="preserve">육아기 근로시간 단축은 법정상 주 </t>
    </r>
    <r>
      <rPr>
        <sz val="9"/>
        <color rgb="FF000000"/>
        <rFont val="맑은 고딕"/>
        <family val="3"/>
        <charset val="129"/>
      </rPr>
      <t>15~35</t>
    </r>
    <r>
      <rPr>
        <sz val="9"/>
        <color rgb="FF000000"/>
        <rFont val="Noto Sans CJK SC"/>
        <family val="2"/>
      </rPr>
      <t>시간 범위에서 개인별로 신청하므로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실제 운영 중이거나 예정인 단축시간을 회신해 주시면 해당 유형만 생성하겠습니다</t>
    </r>
    <r>
      <rPr>
        <sz val="9"/>
        <color rgb="FF000000"/>
        <rFont val="맑은 고딕"/>
        <family val="3"/>
        <charset val="129"/>
      </rPr>
      <t>.</t>
    </r>
  </si>
  <si>
    <r>
      <rPr>
        <b/>
        <sz val="11"/>
        <color rgb="FF002060"/>
        <rFont val="맑은 고딕"/>
        <family val="3"/>
        <charset val="129"/>
      </rPr>
      <t xml:space="preserve">3-1. </t>
    </r>
    <r>
      <rPr>
        <b/>
        <sz val="11"/>
        <color rgb="FF002060"/>
        <rFont val="Noto Sans CJK SC"/>
        <family val="2"/>
      </rPr>
      <t xml:space="preserve">근로유형 목록 </t>
    </r>
    <r>
      <rPr>
        <b/>
        <sz val="11"/>
        <color rgb="FF002060"/>
        <rFont val="맑은 고딕"/>
        <family val="3"/>
        <charset val="129"/>
      </rPr>
      <t xml:space="preserve">/ </t>
    </r>
    <r>
      <rPr>
        <b/>
        <sz val="11"/>
        <color rgb="FF002060"/>
        <rFont val="Noto Sans CJK SC"/>
        <family val="2"/>
      </rPr>
      <t>연장 인정 기준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</si>
  <si>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연장 인정시간에는 해당 근로유형에서 연장근로를 인정하는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일 최대 시간을 숫자로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연장 운영이 없는 유형은 반드시 </t>
    </r>
    <r>
      <rPr>
        <sz val="9"/>
        <color rgb="FF000000"/>
        <rFont val="맑은 고딕"/>
        <family val="3"/>
        <charset val="129"/>
      </rPr>
      <t>0</t>
    </r>
    <r>
      <rPr>
        <sz val="9"/>
        <color rgb="FF000000"/>
        <rFont val="Noto Sans CJK SC"/>
        <family val="2"/>
      </rPr>
      <t>을 입력해 주십시오</t>
    </r>
    <r>
      <rPr>
        <sz val="9"/>
        <color rgb="FF000000"/>
        <rFont val="맑은 고딕"/>
        <family val="3"/>
        <charset val="129"/>
      </rPr>
      <t>. (</t>
    </r>
    <r>
      <rPr>
        <sz val="9"/>
        <color rgb="FF000000"/>
        <rFont val="Noto Sans CJK SC"/>
        <family val="2"/>
      </rPr>
      <t xml:space="preserve">공란과 </t>
    </r>
    <r>
      <rPr>
        <sz val="9"/>
        <color rgb="FF000000"/>
        <rFont val="맑은 고딕"/>
        <family val="3"/>
        <charset val="129"/>
      </rPr>
      <t>0</t>
    </r>
    <r>
      <rPr>
        <sz val="9"/>
        <color rgb="FF000000"/>
        <rFont val="Noto Sans CJK SC"/>
        <family val="2"/>
      </rPr>
      <t>은 다르게 처리됩니다</t>
    </r>
    <r>
      <rPr>
        <sz val="9"/>
        <color rgb="FF000000"/>
        <rFont val="맑은 고딕"/>
        <family val="3"/>
        <charset val="129"/>
      </rPr>
      <t xml:space="preserve">)
</t>
    </r>
    <r>
      <rPr>
        <sz val="9"/>
        <color rgb="FF000000"/>
        <rFont val="Noto Sans CJK SC"/>
        <family val="2"/>
      </rPr>
      <t xml:space="preserve">연장근로 처리구분은 </t>
    </r>
    <r>
      <rPr>
        <sz val="9"/>
        <color rgb="FF000000"/>
        <rFont val="맑은 고딕"/>
        <family val="3"/>
        <charset val="129"/>
      </rPr>
      <t xml:space="preserve">(1) </t>
    </r>
    <r>
      <rPr>
        <sz val="9"/>
        <color rgb="FF000000"/>
        <rFont val="Noto Sans CJK SC"/>
        <family val="2"/>
      </rPr>
      <t xml:space="preserve">급여수당만 </t>
    </r>
    <r>
      <rPr>
        <sz val="9"/>
        <color rgb="FF000000"/>
        <rFont val="맑은 고딕"/>
        <family val="3"/>
        <charset val="129"/>
      </rPr>
      <t xml:space="preserve">- </t>
    </r>
    <r>
      <rPr>
        <sz val="9"/>
        <color rgb="FF000000"/>
        <rFont val="Noto Sans CJK SC"/>
        <family val="2"/>
      </rPr>
      <t xml:space="preserve">연장시간 전액을 수당으로 지급  </t>
    </r>
    <r>
      <rPr>
        <sz val="9"/>
        <color rgb="FF000000"/>
        <rFont val="맑은 고딕"/>
        <family val="3"/>
        <charset val="129"/>
      </rPr>
      <t xml:space="preserve">(2) </t>
    </r>
    <r>
      <rPr>
        <sz val="9"/>
        <color rgb="FF000000"/>
        <rFont val="Noto Sans CJK SC"/>
        <family val="2"/>
      </rPr>
      <t xml:space="preserve">급여수당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대체휴가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미확정</t>
    </r>
    <r>
      <rPr>
        <sz val="9"/>
        <color rgb="FF000000"/>
        <rFont val="맑은 고딕"/>
        <family val="3"/>
        <charset val="129"/>
      </rPr>
      <t xml:space="preserve">) - </t>
    </r>
    <r>
      <rPr>
        <sz val="9"/>
        <color rgb="FF000000"/>
        <rFont val="Noto Sans CJK SC"/>
        <family val="2"/>
      </rPr>
      <t>수당 지급과 대체휴가 부여를 선택할 수 있도록 미확정 상태로 적재  중에서 선택해 주십시오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확인 필요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본사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물류는 고정연장수당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포괄임금</t>
    </r>
    <r>
      <rPr>
        <sz val="9"/>
        <color rgb="FF000000"/>
        <rFont val="맑은 고딕"/>
        <family val="3"/>
        <charset val="129"/>
      </rPr>
      <t xml:space="preserve">), </t>
    </r>
    <r>
      <rPr>
        <sz val="9"/>
        <color rgb="FF000000"/>
        <rFont val="Noto Sans CJK SC"/>
        <family val="2"/>
      </rPr>
      <t>제주 야크마을은 실적 기준 정산으로 파악됩니다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정산 기준이 다르다면 제주용 근로유형을 별도로 분리해야 하므로 회신 부탁드립니다</t>
    </r>
    <r>
      <rPr>
        <sz val="9"/>
        <color rgb="FF000000"/>
        <rFont val="맑은 고딕"/>
        <family val="3"/>
        <charset val="129"/>
      </rPr>
      <t>.</t>
    </r>
  </si>
  <si>
    <t>근로유형 명칭</t>
  </si>
  <si>
    <t>일 소정
근로시간</t>
  </si>
  <si>
    <t>주 소정
근로시간</t>
  </si>
  <si>
    <r>
      <rPr>
        <b/>
        <sz val="9"/>
        <color rgb="FFFFFFFF"/>
        <rFont val="Noto Sans CJK SC"/>
        <family val="2"/>
      </rPr>
      <t xml:space="preserve">연장 시간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 xml:space="preserve">없으면 </t>
    </r>
    <r>
      <rPr>
        <b/>
        <sz val="9"/>
        <color rgb="FFFFFFFF"/>
        <rFont val="맑은 고딕"/>
        <family val="3"/>
        <charset val="129"/>
      </rPr>
      <t>0)</t>
    </r>
  </si>
  <si>
    <t>연장근로 처리구분</t>
  </si>
  <si>
    <t>기본</t>
  </si>
  <si>
    <r>
      <rPr>
        <sz val="9"/>
        <color rgb="FF000000"/>
        <rFont val="Noto Sans CJK SC"/>
        <family val="2"/>
      </rPr>
      <t>급여수당</t>
    </r>
    <r>
      <rPr>
        <sz val="9"/>
        <color rgb="FF000000"/>
        <rFont val="맑은 고딕"/>
        <family val="3"/>
        <charset val="129"/>
      </rPr>
      <t>+</t>
    </r>
    <r>
      <rPr>
        <sz val="9"/>
        <color rgb="FF000000"/>
        <rFont val="Noto Sans CJK SC"/>
        <family val="2"/>
      </rPr>
      <t>대체휴가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미확정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</si>
  <si>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임신기단축</t>
    </r>
    <r>
      <rPr>
        <sz val="9"/>
        <color rgb="FF000000"/>
        <rFont val="맑은 고딕"/>
        <family val="3"/>
        <charset val="129"/>
      </rPr>
      <t>(2</t>
    </r>
    <r>
      <rPr>
        <sz val="9"/>
        <color rgb="FF000000"/>
        <rFont val="Noto Sans CJK SC"/>
        <family val="2"/>
      </rPr>
      <t>시간</t>
    </r>
    <r>
      <rPr>
        <sz val="9"/>
        <color rgb="FF000000"/>
        <rFont val="맑은 고딕"/>
        <family val="3"/>
        <charset val="129"/>
      </rPr>
      <t>)</t>
    </r>
  </si>
  <si>
    <t>연장 미운영</t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</si>
  <si>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(7.00)</t>
    </r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</si>
  <si>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(6.00)</t>
    </r>
  </si>
  <si>
    <r>
      <rPr>
        <sz val="9"/>
        <color rgb="FF000000"/>
        <rFont val="Noto Sans CJK SC"/>
        <family val="2"/>
      </rPr>
      <t>육아기단축</t>
    </r>
    <r>
      <rPr>
        <sz val="9"/>
        <color rgb="FF000000"/>
        <rFont val="맑은 고딕"/>
        <family val="3"/>
        <charset val="129"/>
      </rPr>
      <t>(5.00)</t>
    </r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</si>
  <si>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추가하실 근로유형을 작성해 주세요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</si>
  <si>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1"/>
        <color rgb="FF002060"/>
        <rFont val="맑은 고딕"/>
        <family val="3"/>
        <charset val="129"/>
      </rPr>
      <t xml:space="preserve">3-2. </t>
    </r>
    <r>
      <rPr>
        <b/>
        <sz val="11"/>
        <color rgb="FF002060"/>
        <rFont val="Noto Sans CJK SC"/>
        <family val="2"/>
      </rPr>
      <t>대체휴가 부여 기준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</si>
  <si>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연장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야간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휴일근로 누적시간을 몇 시간 모았을 때 대체휴가를 며칠 부여할지 기준을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가산율 적용 여부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연장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 xml:space="preserve">시간을 </t>
    </r>
    <r>
      <rPr>
        <sz val="9"/>
        <color rgb="FF000000"/>
        <rFont val="맑은 고딕"/>
        <family val="3"/>
        <charset val="129"/>
      </rPr>
      <t>1.5</t>
    </r>
    <r>
      <rPr>
        <sz val="9"/>
        <color rgb="FF000000"/>
        <rFont val="Noto Sans CJK SC"/>
        <family val="2"/>
      </rPr>
      <t>시간으로 환산할지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도 함께 선택 부탁드립니다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예</t>
    </r>
    <r>
      <rPr>
        <sz val="9"/>
        <color rgb="FF000000"/>
        <rFont val="맑은 고딕"/>
        <family val="3"/>
        <charset val="129"/>
      </rPr>
      <t>) 8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3"/>
        <charset val="129"/>
      </rPr>
      <t>=&gt; 1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3"/>
        <charset val="129"/>
      </rPr>
      <t>/ 4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3"/>
        <charset val="129"/>
      </rPr>
      <t>=&gt; 0.5</t>
    </r>
    <r>
      <rPr>
        <sz val="9"/>
        <color rgb="FF000000"/>
        <rFont val="Noto Sans CJK SC"/>
        <family val="2"/>
      </rPr>
      <t>일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대체휴가는 근태코드 </t>
    </r>
    <r>
      <rPr>
        <sz val="9"/>
        <color rgb="FF000000"/>
        <rFont val="맑은 고딕"/>
        <family val="3"/>
        <charset val="129"/>
      </rPr>
      <t>6100(</t>
    </r>
    <r>
      <rPr>
        <sz val="9"/>
        <color rgb="FF000000"/>
        <rFont val="Noto Sans CJK SC"/>
        <family val="2"/>
      </rPr>
      <t>대체휴무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로 적재되며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사용기한 경과분의 처리 방식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수당 전환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소멸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도 회신 요청드립니다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참고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제주 야크마을 근무표에는 이월휴무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당월휴무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잔여휴무가 별도로 관리되고 있습니다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현행 운영 기준을 함께 알려주시면 반영하겠습니다</t>
    </r>
    <r>
      <rPr>
        <sz val="9"/>
        <color rgb="FF000000"/>
        <rFont val="맑은 고딕"/>
        <family val="3"/>
        <charset val="129"/>
      </rPr>
      <t>.</t>
    </r>
  </si>
  <si>
    <t>적용 근로유형</t>
  </si>
  <si>
    <r>
      <rPr>
        <b/>
        <sz val="9"/>
        <color rgb="FFFFFFFF"/>
        <rFont val="Noto Sans CJK SC"/>
        <family val="2"/>
      </rPr>
      <t xml:space="preserve">누적 연장시간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시간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</si>
  <si>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부여 일수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맑은 고딕"/>
        <family val="3"/>
        <charset val="129"/>
      </rPr>
      <t>)</t>
    </r>
  </si>
  <si>
    <t>가산율 적용
여부</t>
  </si>
  <si>
    <t>사용기한</t>
  </si>
  <si>
    <t>비고</t>
  </si>
  <si>
    <r>
      <rPr>
        <b/>
        <sz val="14"/>
        <color rgb="FFFFFFFF"/>
        <rFont val="맑은 고딕"/>
        <family val="3"/>
        <charset val="129"/>
      </rPr>
      <t xml:space="preserve">4. </t>
    </r>
    <r>
      <rPr>
        <b/>
        <sz val="14"/>
        <color rgb="FFFFFFFF"/>
        <rFont val="Noto Sans CJK SC"/>
        <family val="2"/>
      </rPr>
      <t xml:space="preserve">스케줄근무그룹 </t>
    </r>
    <r>
      <rPr>
        <b/>
        <sz val="14"/>
        <color rgb="FFFFFFFF"/>
        <rFont val="맑은 고딕"/>
        <family val="3"/>
        <charset val="129"/>
      </rPr>
      <t xml:space="preserve">- </t>
    </r>
    <r>
      <rPr>
        <b/>
        <sz val="14"/>
        <color rgb="FFFFFFFF"/>
        <rFont val="Noto Sans CJK SC"/>
        <family val="2"/>
      </rPr>
      <t>스케줄근무 운영 단위 확인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</si>
  <si>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스케줄근무그룹이란</t>
    </r>
    <r>
      <rPr>
        <sz val="9"/>
        <color rgb="FF000000"/>
        <rFont val="맑은 고딕"/>
        <family val="3"/>
        <charset val="129"/>
      </rPr>
      <t xml:space="preserve">]
</t>
    </r>
    <r>
      <rPr>
        <sz val="9"/>
        <color rgb="FF000000"/>
        <rFont val="Noto Sans CJK SC"/>
        <family val="2"/>
      </rPr>
      <t>교대제와 같이 날짜별로 근무유형이 바뀌는 스케줄근무를 운영하는 단위입니다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그룹 안에 소속된 직원에게 월 단위로 근무유형</t>
    </r>
    <r>
      <rPr>
        <sz val="9"/>
        <color rgb="FF000000"/>
        <rFont val="맑은 고딕"/>
        <family val="3"/>
        <charset val="129"/>
      </rPr>
      <t>(Day)</t>
    </r>
    <r>
      <rPr>
        <sz val="9"/>
        <color rgb="FF000000"/>
        <rFont val="Noto Sans CJK SC"/>
        <family val="2"/>
      </rPr>
      <t>을 배정하여 근무표를 편성합니다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스케줄근무를 운영해야 하는 근무유형을 그룹별로 반영해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그룹에서 사용할 근무유형이 </t>
    </r>
    <r>
      <rPr>
        <sz val="9"/>
        <color rgb="FF000000"/>
        <rFont val="맑은 고딕"/>
        <family val="3"/>
        <charset val="129"/>
      </rPr>
      <t xml:space="preserve">2-1 </t>
    </r>
    <r>
      <rPr>
        <sz val="9"/>
        <color rgb="FF000000"/>
        <rFont val="Noto Sans CJK SC"/>
        <family val="2"/>
      </rPr>
      <t>목록과 다르거나 누락된 경우 해당 칸에 직접 기재해 주십시오</t>
    </r>
    <r>
      <rPr>
        <sz val="9"/>
        <color rgb="FF000000"/>
        <rFont val="맑은 고딕"/>
        <family val="3"/>
        <charset val="129"/>
      </rPr>
      <t xml:space="preserve">.
[HCG </t>
    </r>
    <r>
      <rPr>
        <sz val="9"/>
        <color rgb="FF000000"/>
        <rFont val="Noto Sans CJK SC"/>
        <family val="2"/>
      </rPr>
      <t>설정안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 xml:space="preserve">제주 야크마을 </t>
    </r>
    <r>
      <rPr>
        <sz val="9"/>
        <color rgb="FF000000"/>
        <rFont val="맑은 고딕"/>
        <family val="3"/>
        <charset val="129"/>
      </rPr>
      <t>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3"/>
        <charset val="129"/>
      </rPr>
      <t>7</t>
    </r>
    <r>
      <rPr>
        <sz val="9"/>
        <color rgb="FF000000"/>
        <rFont val="Noto Sans CJK SC"/>
        <family val="2"/>
      </rPr>
      <t xml:space="preserve">월 근무표를 기준으로 파트 단위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개 그룹을 구성하였습니다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경영지원팀은 </t>
    </r>
    <r>
      <rPr>
        <sz val="9"/>
        <color rgb="FF000000"/>
        <rFont val="맑은 고딕"/>
        <family val="3"/>
        <charset val="129"/>
      </rPr>
      <t xml:space="preserve">D(09:00-18:00) </t>
    </r>
    <r>
      <rPr>
        <sz val="9"/>
        <color rgb="FF000000"/>
        <rFont val="Noto Sans CJK SC"/>
        <family val="2"/>
      </rPr>
      <t>일근으로 확인되어 스케줄근무그룹에서 제외하였습니다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그룹 단위가 파트 기준이 맞는지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그룹을 통합하거나 더 나눌 필요가 있는지 함께 회신 부탁드립니다</t>
    </r>
    <r>
      <rPr>
        <sz val="9"/>
        <color rgb="FF000000"/>
        <rFont val="맑은 고딕"/>
        <family val="3"/>
        <charset val="129"/>
      </rPr>
      <t>.</t>
    </r>
  </si>
  <si>
    <t>스케줄근무그룹명</t>
  </si>
  <si>
    <t>적용 사업장</t>
  </si>
  <si>
    <r>
      <rPr>
        <b/>
        <sz val="9"/>
        <color rgb="FFFFFFFF"/>
        <rFont val="Noto Sans CJK SC"/>
        <family val="2"/>
      </rPr>
      <t xml:space="preserve">운영 근무유형 </t>
    </r>
    <r>
      <rPr>
        <b/>
        <sz val="9"/>
        <color rgb="FFFFFFFF"/>
        <rFont val="맑은 고딕"/>
        <family val="3"/>
        <charset val="129"/>
      </rPr>
      <t xml:space="preserve">(2-1 </t>
    </r>
    <r>
      <rPr>
        <b/>
        <sz val="9"/>
        <color rgb="FFFFFFFF"/>
        <rFont val="Noto Sans CJK SC"/>
        <family val="2"/>
      </rPr>
      <t>기준</t>
    </r>
    <r>
      <rPr>
        <b/>
        <sz val="9"/>
        <color rgb="FFFFFFFF"/>
        <rFont val="맑은 고딕"/>
        <family val="3"/>
        <charset val="129"/>
      </rPr>
      <t>)</t>
    </r>
  </si>
  <si>
    <t>프런트</t>
  </si>
  <si>
    <t>제주 야크마을</t>
  </si>
  <si>
    <t>B / C / D / E / F / I(14:00-23:00) / R</t>
  </si>
  <si>
    <t>객실관리</t>
  </si>
  <si>
    <t>B / C / C1 / D / F / H</t>
  </si>
  <si>
    <t>식음조리</t>
  </si>
  <si>
    <t>A / B / C / D / E / F / G / I(13:00-22:00)</t>
  </si>
  <si>
    <r>
      <rPr>
        <sz val="9"/>
        <color rgb="FF000000"/>
        <rFont val="Noto Sans CJK SC"/>
        <family val="2"/>
      </rPr>
      <t>식음서비스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팀</t>
    </r>
  </si>
  <si>
    <t>A / B / B1 / C / C1 / D / G</t>
  </si>
  <si>
    <r>
      <rPr>
        <sz val="9"/>
        <color rgb="FF000000"/>
        <rFont val="Noto Sans CJK SC"/>
        <family val="2"/>
      </rPr>
      <t>시스템</t>
    </r>
    <r>
      <rPr>
        <sz val="9"/>
        <color rgb="FF000000"/>
        <rFont val="맑은 고딕"/>
        <family val="3"/>
        <charset val="129"/>
      </rPr>
      <t>&amp;</t>
    </r>
    <r>
      <rPr>
        <sz val="9"/>
        <color rgb="FF000000"/>
        <rFont val="Noto Sans CJK SC"/>
        <family val="2"/>
      </rPr>
      <t>시설</t>
    </r>
  </si>
  <si>
    <r>
      <rPr>
        <sz val="9"/>
        <color rgb="FF000000"/>
        <rFont val="Noto Sans CJK SC"/>
        <family val="2"/>
      </rPr>
      <t>주</t>
    </r>
    <r>
      <rPr>
        <sz val="9"/>
        <color rgb="FF000000"/>
        <rFont val="맑은 고딕"/>
        <family val="3"/>
        <charset val="129"/>
      </rPr>
      <t xml:space="preserve">(09:00-18:00) / </t>
    </r>
    <r>
      <rPr>
        <sz val="9"/>
        <color rgb="FF000000"/>
        <rFont val="Noto Sans CJK SC"/>
        <family val="2"/>
      </rPr>
      <t>야</t>
    </r>
    <r>
      <rPr>
        <sz val="9"/>
        <color rgb="FF000000"/>
        <rFont val="맑은 고딕"/>
        <family val="3"/>
        <charset val="129"/>
      </rPr>
      <t>(13:00-</t>
    </r>
    <r>
      <rPr>
        <sz val="9"/>
        <color rgb="FF000000"/>
        <rFont val="Noto Sans CJK SC"/>
        <family val="2"/>
      </rPr>
      <t>익일</t>
    </r>
    <r>
      <rPr>
        <sz val="9"/>
        <color rgb="FF000000"/>
        <rFont val="맑은 고딕"/>
        <family val="3"/>
        <charset val="129"/>
      </rPr>
      <t xml:space="preserve">09:00) / </t>
    </r>
    <r>
      <rPr>
        <sz val="9"/>
        <color rgb="FF000000"/>
        <rFont val="Noto Sans CJK SC"/>
        <family val="2"/>
      </rPr>
      <t>비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비번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</si>
  <si>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추가하실 스케줄근무그룹을 작성해 주세요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</si>
  <si>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4"/>
        <color rgb="FFFFFFFF"/>
        <rFont val="맑은 고딕"/>
        <family val="3"/>
        <charset val="129"/>
      </rPr>
      <t xml:space="preserve">5. </t>
    </r>
    <r>
      <rPr>
        <b/>
        <sz val="14"/>
        <color rgb="FFFFFFFF"/>
        <rFont val="Noto Sans CJK SC"/>
        <family val="2"/>
      </rPr>
      <t xml:space="preserve">근태 신청서 정의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신청서별 근태코드 연결</t>
    </r>
  </si>
  <si>
    <r>
      <rPr>
        <sz val="9"/>
        <color rgb="FF000000"/>
        <rFont val="맑은 고딕"/>
        <family val="3"/>
        <charset val="129"/>
      </rPr>
      <t>[</t>
    </r>
    <r>
      <rPr>
        <sz val="9"/>
        <color rgb="FF000000"/>
        <rFont val="Noto Sans CJK SC"/>
        <family val="2"/>
      </rPr>
      <t>신청서</t>
    </r>
    <r>
      <rPr>
        <sz val="9"/>
        <color rgb="FF000000"/>
        <rFont val="맑은 고딕"/>
        <family val="3"/>
        <charset val="129"/>
      </rPr>
      <t>-</t>
    </r>
    <r>
      <rPr>
        <sz val="9"/>
        <color rgb="FF000000"/>
        <rFont val="Noto Sans CJK SC"/>
        <family val="2"/>
      </rPr>
      <t>근태코드 연결이란</t>
    </r>
    <r>
      <rPr>
        <sz val="9"/>
        <color rgb="FF000000"/>
        <rFont val="맑은 고딕"/>
        <family val="3"/>
        <charset val="129"/>
      </rPr>
      <t xml:space="preserve">]
</t>
    </r>
    <r>
      <rPr>
        <sz val="9"/>
        <color rgb="FF000000"/>
        <rFont val="Noto Sans CJK SC"/>
        <family val="2"/>
      </rPr>
      <t>직원이 근태를 신청할 때 사용하는 전자결재 양식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신청서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과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그 양식에서 선택할 수 있는 근태코드를 연결하는 작업입니다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연결되지 않은 근태코드는 해당 신청서에서 선택할 수 없습니다</t>
    </r>
    <r>
      <rPr>
        <sz val="9"/>
        <color rgb="FF000000"/>
        <rFont val="맑은 고딕"/>
        <family val="3"/>
        <charset val="129"/>
      </rPr>
      <t xml:space="preserve">.
[HCG </t>
    </r>
    <r>
      <rPr>
        <sz val="9"/>
        <color rgb="FF000000"/>
        <rFont val="Noto Sans CJK SC"/>
        <family val="2"/>
      </rPr>
      <t>설정안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현재 근태코드에 설정된 신청서유형을 기준으로 정리하였습니다</t>
    </r>
    <r>
      <rPr>
        <sz val="9"/>
        <color rgb="FF000000"/>
        <rFont val="맑은 고딕"/>
        <family val="3"/>
        <charset val="129"/>
      </rPr>
      <t>.
[</t>
    </r>
    <r>
      <rPr>
        <sz val="9"/>
        <color rgb="FF000000"/>
        <rFont val="Noto Sans CJK SC"/>
        <family val="2"/>
      </rPr>
      <t>회신 요청</t>
    </r>
    <r>
      <rPr>
        <sz val="9"/>
        <color rgb="FF000000"/>
        <rFont val="맑은 고딕"/>
        <family val="3"/>
        <charset val="129"/>
      </rPr>
      <t xml:space="preserve">] </t>
    </r>
    <r>
      <rPr>
        <sz val="9"/>
        <color rgb="FF000000"/>
        <rFont val="Noto Sans CJK SC"/>
        <family val="2"/>
      </rPr>
      <t>신청서 명칭과 연결 근태코드를 확인해 주시고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수정이 필요하면 노란색 칸에 기재해 주십시오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결재선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단계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도 함께 회신 부탁드립니다</t>
    </r>
    <r>
      <rPr>
        <sz val="9"/>
        <color rgb="FF000000"/>
        <rFont val="맑은 고딕"/>
        <family val="3"/>
        <charset val="129"/>
      </rPr>
      <t xml:space="preserve">.
</t>
    </r>
    <r>
      <rPr>
        <sz val="9"/>
        <color rgb="FF000000"/>
        <rFont val="Noto Sans CJK SC"/>
        <family val="2"/>
      </rPr>
      <t>휴직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육아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가족돌봄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병역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일반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과 산재요양은 인사팀 직접 등록 대상으로 보아 신청서에서 제외하였습니다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직원 신청이 필요하면 회신해 주십시오</t>
    </r>
    <r>
      <rPr>
        <sz val="9"/>
        <color rgb="FF000000"/>
        <rFont val="맑은 고딕"/>
        <family val="3"/>
        <charset val="129"/>
      </rPr>
      <t>.</t>
    </r>
  </si>
  <si>
    <t>신청서 명칭</t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</si>
  <si>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1</t>
    </r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</si>
  <si>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2</t>
    </r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</si>
  <si>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3</t>
    </r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</si>
  <si>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4</t>
    </r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</si>
  <si>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5</t>
    </r>
  </si>
  <si>
    <r>
      <rPr>
        <b/>
        <sz val="9"/>
        <color rgb="FFFFFFFF"/>
        <rFont val="Noto Sans CJK SC"/>
        <family val="2"/>
      </rPr>
      <t xml:space="preserve">근태코드 </t>
    </r>
    <r>
      <rPr>
        <b/>
        <sz val="9"/>
        <color rgb="FFFFFFFF"/>
        <rFont val="맑은 고딕"/>
        <family val="3"/>
        <charset val="129"/>
      </rPr>
      <t>6</t>
    </r>
  </si>
  <si>
    <t>연차휴가 신청서</t>
  </si>
  <si>
    <r>
      <rPr>
        <sz val="9"/>
        <color rgb="FF000000"/>
        <rFont val="Noto Sans CJK SC"/>
        <family val="2"/>
      </rPr>
      <t>경조금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 신청서</t>
    </r>
  </si>
  <si>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 신청서</t>
    </r>
  </si>
  <si>
    <t>모성보호 신청서</t>
  </si>
  <si>
    <r>
      <rPr>
        <sz val="9"/>
        <color rgb="FF000000"/>
        <rFont val="Noto Sans CJK SC"/>
        <family val="2"/>
      </rPr>
      <t>출장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외근 신청서</t>
    </r>
  </si>
  <si>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휴가취소 신청서</t>
    </r>
  </si>
  <si>
    <t>취소 가능 근태코드 범위 회신 요청</t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</si>
  <si>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추가하실 신청서를 작성해 주세요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</si>
  <si>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4"/>
        <color rgb="FFFFFFFF"/>
        <rFont val="Noto Sans CJK SC"/>
        <family val="2"/>
      </rPr>
      <t xml:space="preserve">참조 </t>
    </r>
    <r>
      <rPr>
        <b/>
        <sz val="14"/>
        <color rgb="FFFFFFFF"/>
        <rFont val="맑은 고딕"/>
        <family val="3"/>
        <charset val="129"/>
      </rPr>
      <t xml:space="preserve">- </t>
    </r>
    <r>
      <rPr>
        <b/>
        <sz val="14"/>
        <color rgb="FFFFFFFF"/>
        <rFont val="Noto Sans CJK SC"/>
        <family val="2"/>
      </rPr>
      <t xml:space="preserve">근태코드 목록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 xml:space="preserve">드롭다운 원본 </t>
    </r>
    <r>
      <rPr>
        <b/>
        <sz val="14"/>
        <color rgb="FFFFFFFF"/>
        <rFont val="맑은 고딕"/>
        <family val="3"/>
        <charset val="129"/>
      </rPr>
      <t xml:space="preserve">/ </t>
    </r>
    <r>
      <rPr>
        <b/>
        <sz val="14"/>
        <color rgb="FFFFFFFF"/>
        <rFont val="Noto Sans CJK SC"/>
        <family val="2"/>
      </rPr>
      <t>수정 금지</t>
    </r>
    <r>
      <rPr>
        <b/>
        <sz val="14"/>
        <color rgb="FFFFFFFF"/>
        <rFont val="맑은 고딕"/>
        <family val="3"/>
        <charset val="129"/>
      </rPr>
      <t>)</t>
    </r>
  </si>
  <si>
    <t>현행 신청서유형</t>
  </si>
  <si>
    <r>
      <rPr>
        <sz val="9"/>
        <color rgb="FF000000"/>
        <rFont val="Noto Sans CJK SC"/>
        <family val="2"/>
      </rPr>
      <t>연차휴가 신청서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휴가취소 신청서</t>
    </r>
  </si>
  <si>
    <r>
      <rPr>
        <sz val="9"/>
        <color rgb="FF000000"/>
        <rFont val="Noto Sans CJK SC"/>
        <family val="2"/>
      </rPr>
      <t>경조금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 신청서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휴가취소 신청서</t>
    </r>
  </si>
  <si>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 신청서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휴가취소 신청서</t>
    </r>
  </si>
  <si>
    <r>
      <rPr>
        <sz val="9"/>
        <color rgb="FF000000"/>
        <rFont val="Noto Sans CJK SC"/>
        <family val="2"/>
      </rPr>
      <t>출장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외근 신청서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휴가취소 신청서</t>
    </r>
  </si>
  <si>
    <t>2026.09.11(금) 까지</t>
    <phoneticPr fontId="19" type="noConversion"/>
  </si>
  <si>
    <r>
      <t>BYN 기준으로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정리한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근태코드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14종(예시)입니다. 생성근태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여부와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부여기준을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회신해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주십시오.</t>
    </r>
    <phoneticPr fontId="19" type="noConversion"/>
  </si>
  <si>
    <t>N</t>
    <phoneticPr fontId="19" type="noConversion"/>
  </si>
  <si>
    <t>기본</t>
    <phoneticPr fontId="19" type="noConversion"/>
  </si>
  <si>
    <t>발생 후 3개월이내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</si>
</sst>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맑은 고딕"/>
      <family val="2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2"/>
    </font>
    <font>
      <b/>
      <sz val="9"/>
      <color rgb="FF000000"/>
      <name val="맑은 고딕"/>
      <family val="2"/>
    </font>
    <font>
      <b/>
      <sz val="11"/>
      <color rgb="FF002060"/>
      <name val="맑은 고딕"/>
      <family val="2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맑은 고딕"/>
      <family val="2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b/>
      <sz val="14"/>
      <color rgb="FFFFFFFF"/>
      <name val="Noto Sans CJK SC"/>
      <family val="2"/>
    </font>
    <font>
      <sz val="9"/>
      <color rgb="FF000000"/>
      <name val="Noto Sans CJK SC"/>
      <family val="2"/>
    </font>
    <font>
      <b/>
      <sz val="9"/>
      <color rgb="FF000000"/>
      <name val="Noto Sans CJK SC"/>
      <family val="2"/>
    </font>
    <font>
      <b/>
      <sz val="9"/>
      <color rgb="FFFFFFFF"/>
      <name val="Noto Sans CJK SC"/>
      <family val="2"/>
    </font>
    <font>
      <sz val="8"/>
      <color rgb="FF000000"/>
      <name val="Noto Sans CJK SC"/>
      <family val="2"/>
    </font>
    <font>
      <b/>
      <sz val="11"/>
      <color rgb="FF002060"/>
      <name val="Noto Sans CJK SC"/>
      <family val="2"/>
    </font>
    <font>
      <sz val="8"/>
      <name val="돋움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9E1F2"/>
        <bgColor rgb="FFEAF3E6"/>
      </patternFill>
    </fill>
    <fill>
      <patternFill patternType="solid">
        <fgColor rgb="FFFFF2CC"/>
        <bgColor rgb="FFEAF3E6"/>
      </patternFill>
    </fill>
    <fill>
      <patternFill patternType="solid">
        <fgColor rgb="FFEAF3E6"/>
        <bgColor rgb="FFF2F2F2"/>
      </patternFill>
    </fill>
    <fill>
      <patternFill patternType="solid">
        <fgColor rgb="FFF2F2F2"/>
        <bgColor rgb="FFEAF3E6"/>
      </patternFill>
    </fill>
    <fill>
      <patternFill patternType="solid">
        <fgColor rgb="FF44546A"/>
        <bgColor rgb="FF3333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3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abSelected="1" zoomScaleNormal="100" workbookViewId="0">
      <selection activeCell="C29" sqref="C29"/>
    </sheetView>
  </sheetViews>
  <sheetFormatPr defaultColWidth="8.6640625" defaultRowHeight="14.4"/>
  <cols>
    <col min="1" max="1" width="2.21875" customWidth="1"/>
    <col min="2" max="2" width="18" customWidth="1"/>
    <col min="3" max="3" width="128" customWidth="1"/>
  </cols>
  <sheetData>
    <row r="2" spans="2:3" ht="25.5" customHeight="1">
      <c r="B2" s="8" t="s">
        <v>0</v>
      </c>
      <c r="C2" s="8"/>
    </row>
    <row r="3" spans="2:3" ht="15" customHeight="1">
      <c r="B3" s="7" t="s">
        <v>1</v>
      </c>
      <c r="C3" s="7"/>
    </row>
    <row r="5" spans="2:3" ht="37.5" customHeight="1">
      <c r="B5" s="9" t="s">
        <v>2</v>
      </c>
      <c r="C5" s="10" t="s">
        <v>3</v>
      </c>
    </row>
    <row r="6" spans="2:3" ht="37.5" customHeight="1">
      <c r="B6" s="9" t="s">
        <v>4</v>
      </c>
      <c r="C6" s="10" t="s">
        <v>5</v>
      </c>
    </row>
    <row r="7" spans="2:3" ht="24.75" customHeight="1">
      <c r="B7" s="9" t="s">
        <v>6</v>
      </c>
      <c r="C7" s="29" t="s">
        <v>230</v>
      </c>
    </row>
    <row r="9" spans="2:3" ht="19.5" customHeight="1">
      <c r="B9" s="6" t="s">
        <v>7</v>
      </c>
      <c r="C9" s="6"/>
    </row>
    <row r="10" spans="2:3" ht="16.5" customHeight="1">
      <c r="B10" s="12" t="s">
        <v>8</v>
      </c>
      <c r="C10" s="11" t="s">
        <v>231</v>
      </c>
    </row>
    <row r="11" spans="2:3" ht="16.5" customHeight="1">
      <c r="B11" s="12" t="s">
        <v>9</v>
      </c>
      <c r="C11" s="10" t="s">
        <v>10</v>
      </c>
    </row>
    <row r="12" spans="2:3" ht="16.5" customHeight="1">
      <c r="B12" s="12" t="s">
        <v>11</v>
      </c>
      <c r="C12" s="10" t="s">
        <v>12</v>
      </c>
    </row>
    <row r="13" spans="2:3" ht="16.5" customHeight="1">
      <c r="B13" s="12" t="s">
        <v>13</v>
      </c>
      <c r="C13" s="10" t="s">
        <v>14</v>
      </c>
    </row>
    <row r="14" spans="2:3" ht="16.5" customHeight="1">
      <c r="B14" s="12" t="s">
        <v>15</v>
      </c>
      <c r="C14" s="10" t="s">
        <v>16</v>
      </c>
    </row>
    <row r="15" spans="2:3" ht="16.5" customHeight="1">
      <c r="B15" s="12" t="s">
        <v>17</v>
      </c>
      <c r="C15" s="10" t="s">
        <v>18</v>
      </c>
    </row>
    <row r="16" spans="2:3" ht="16.5" customHeight="1">
      <c r="B16" s="12" t="s">
        <v>19</v>
      </c>
      <c r="C16" s="10" t="s">
        <v>20</v>
      </c>
    </row>
    <row r="17" spans="2:3" ht="16.5" customHeight="1">
      <c r="B17" s="9" t="s">
        <v>21</v>
      </c>
      <c r="C17" s="10" t="s">
        <v>22</v>
      </c>
    </row>
    <row r="19" spans="2:3" ht="19.5" customHeight="1">
      <c r="B19" s="6" t="s">
        <v>23</v>
      </c>
      <c r="C19" s="6"/>
    </row>
    <row r="20" spans="2:3" ht="16.5" customHeight="1">
      <c r="B20" s="13" t="s">
        <v>24</v>
      </c>
      <c r="C20" s="10" t="s">
        <v>25</v>
      </c>
    </row>
    <row r="21" spans="2:3" ht="16.5" customHeight="1">
      <c r="B21" s="14" t="s">
        <v>26</v>
      </c>
      <c r="C21" s="11" t="s">
        <v>27</v>
      </c>
    </row>
    <row r="22" spans="2:3" ht="16.5" customHeight="1">
      <c r="B22" s="15" t="s">
        <v>28</v>
      </c>
      <c r="C22" s="10" t="s">
        <v>29</v>
      </c>
    </row>
    <row r="23" spans="2:3" ht="16.5" customHeight="1">
      <c r="B23" s="16" t="s">
        <v>30</v>
      </c>
      <c r="C23" s="10" t="s">
        <v>31</v>
      </c>
    </row>
  </sheetData>
  <mergeCells count="4">
    <mergeCell ref="B2:C2"/>
    <mergeCell ref="B3:C3"/>
    <mergeCell ref="B9:C9"/>
    <mergeCell ref="B19:C19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1"/>
  <sheetViews>
    <sheetView showGridLines="0" topLeftCell="A9" zoomScaleNormal="100" workbookViewId="0">
      <selection activeCell="E20" sqref="E20"/>
    </sheetView>
  </sheetViews>
  <sheetFormatPr defaultColWidth="8.6640625" defaultRowHeight="14.4"/>
  <cols>
    <col min="1" max="1" width="2.21875" customWidth="1"/>
    <col min="2" max="2" width="5" customWidth="1"/>
    <col min="3" max="3" width="10" customWidth="1"/>
    <col min="4" max="4" width="28.33203125" customWidth="1"/>
    <col min="5" max="6" width="9" customWidth="1"/>
    <col min="7" max="7" width="11" customWidth="1"/>
    <col min="8" max="8" width="10" customWidth="1"/>
    <col min="9" max="9" width="13" customWidth="1"/>
    <col min="10" max="10" width="48" customWidth="1"/>
    <col min="11" max="11" width="26" customWidth="1"/>
  </cols>
  <sheetData>
    <row r="2" spans="2:11" ht="25.5" customHeight="1">
      <c r="B2" s="8" t="s">
        <v>32</v>
      </c>
      <c r="C2" s="8"/>
      <c r="D2" s="8"/>
      <c r="E2" s="8"/>
      <c r="F2" s="8"/>
      <c r="G2" s="8"/>
      <c r="H2" s="8"/>
      <c r="I2" s="8"/>
      <c r="J2" s="8"/>
      <c r="K2" s="8"/>
    </row>
    <row r="4" spans="2:11" ht="78" customHeight="1">
      <c r="B4" s="5" t="s">
        <v>33</v>
      </c>
      <c r="C4" s="5"/>
      <c r="D4" s="5"/>
      <c r="E4" s="5"/>
      <c r="F4" s="5"/>
      <c r="G4" s="5"/>
      <c r="H4" s="5"/>
      <c r="I4" s="5"/>
      <c r="J4" s="5"/>
      <c r="K4" s="5"/>
    </row>
    <row r="5" spans="2:11" ht="45.75" customHeight="1">
      <c r="B5" s="5" t="s">
        <v>34</v>
      </c>
      <c r="C5" s="5"/>
      <c r="D5" s="5"/>
      <c r="E5" s="5"/>
      <c r="F5" s="5"/>
      <c r="G5" s="5"/>
      <c r="H5" s="5"/>
      <c r="I5" s="5"/>
      <c r="J5" s="5"/>
      <c r="K5" s="5"/>
    </row>
    <row r="7" spans="2:11" ht="31.5" customHeight="1">
      <c r="B7" s="17" t="s">
        <v>35</v>
      </c>
      <c r="C7" s="18" t="s">
        <v>36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spans="2:11" ht="19.5" customHeight="1">
      <c r="B8" s="19">
        <v>1</v>
      </c>
      <c r="C8" s="19" t="s">
        <v>45</v>
      </c>
      <c r="D8" s="14" t="s">
        <v>46</v>
      </c>
      <c r="E8" s="19" t="s">
        <v>47</v>
      </c>
      <c r="F8" s="19" t="s">
        <v>48</v>
      </c>
      <c r="G8" s="20" t="s">
        <v>46</v>
      </c>
      <c r="H8" s="19">
        <v>1</v>
      </c>
      <c r="I8" s="21" t="s">
        <v>49</v>
      </c>
      <c r="J8" s="22" t="s">
        <v>50</v>
      </c>
      <c r="K8" s="13"/>
    </row>
    <row r="9" spans="2:11" ht="19.5" customHeight="1">
      <c r="B9" s="19">
        <v>2</v>
      </c>
      <c r="C9" s="19" t="s">
        <v>51</v>
      </c>
      <c r="D9" s="14" t="s">
        <v>52</v>
      </c>
      <c r="E9" s="19" t="s">
        <v>47</v>
      </c>
      <c r="F9" s="19" t="s">
        <v>48</v>
      </c>
      <c r="G9" s="20" t="s">
        <v>46</v>
      </c>
      <c r="H9" s="19">
        <v>0.5</v>
      </c>
      <c r="I9" s="21" t="s">
        <v>53</v>
      </c>
      <c r="J9" s="22"/>
      <c r="K9" s="13"/>
    </row>
    <row r="10" spans="2:11" ht="19.5" customHeight="1">
      <c r="B10" s="19">
        <v>3</v>
      </c>
      <c r="C10" s="19" t="s">
        <v>54</v>
      </c>
      <c r="D10" s="14" t="s">
        <v>55</v>
      </c>
      <c r="E10" s="19" t="s">
        <v>47</v>
      </c>
      <c r="F10" s="19" t="s">
        <v>48</v>
      </c>
      <c r="G10" s="20" t="s">
        <v>46</v>
      </c>
      <c r="H10" s="19">
        <v>0.5</v>
      </c>
      <c r="I10" s="21" t="s">
        <v>53</v>
      </c>
      <c r="J10" s="22"/>
      <c r="K10" s="13"/>
    </row>
    <row r="11" spans="2:11" ht="19.5" customHeight="1">
      <c r="B11" s="19">
        <v>4</v>
      </c>
      <c r="C11" s="19" t="s">
        <v>56</v>
      </c>
      <c r="D11" s="14" t="s">
        <v>57</v>
      </c>
      <c r="E11" s="19" t="s">
        <v>47</v>
      </c>
      <c r="F11" s="19" t="s">
        <v>48</v>
      </c>
      <c r="G11" s="20" t="s">
        <v>57</v>
      </c>
      <c r="H11" s="19">
        <v>1</v>
      </c>
      <c r="I11" s="21" t="s">
        <v>49</v>
      </c>
      <c r="J11" s="22"/>
      <c r="K11" s="13"/>
    </row>
    <row r="12" spans="2:11" ht="19.5" customHeight="1">
      <c r="B12" s="19">
        <v>5</v>
      </c>
      <c r="C12" s="19" t="s">
        <v>58</v>
      </c>
      <c r="D12" s="14" t="s">
        <v>59</v>
      </c>
      <c r="E12" s="19" t="s">
        <v>47</v>
      </c>
      <c r="F12" s="19" t="s">
        <v>48</v>
      </c>
      <c r="G12" s="19"/>
      <c r="H12" s="19">
        <v>1</v>
      </c>
      <c r="I12" s="21" t="s">
        <v>53</v>
      </c>
      <c r="J12" s="22"/>
      <c r="K12" s="13"/>
    </row>
    <row r="13" spans="2:11" ht="19.5" customHeight="1">
      <c r="B13" s="19">
        <v>6</v>
      </c>
      <c r="C13" s="19" t="s">
        <v>60</v>
      </c>
      <c r="D13" s="14" t="s">
        <v>61</v>
      </c>
      <c r="E13" s="19" t="s">
        <v>47</v>
      </c>
      <c r="F13" s="19" t="s">
        <v>48</v>
      </c>
      <c r="G13" s="19"/>
      <c r="H13" s="19">
        <v>1</v>
      </c>
      <c r="I13" s="21" t="s">
        <v>53</v>
      </c>
      <c r="J13" s="22"/>
      <c r="K13" s="13"/>
    </row>
    <row r="14" spans="2:11" ht="19.5" customHeight="1">
      <c r="B14" s="19">
        <v>7</v>
      </c>
      <c r="C14" s="19" t="s">
        <v>62</v>
      </c>
      <c r="D14" s="14" t="s">
        <v>63</v>
      </c>
      <c r="E14" s="19" t="s">
        <v>47</v>
      </c>
      <c r="F14" s="19" t="s">
        <v>48</v>
      </c>
      <c r="G14" s="19"/>
      <c r="H14" s="19">
        <v>1</v>
      </c>
      <c r="I14" s="21" t="s">
        <v>53</v>
      </c>
      <c r="J14" s="22"/>
      <c r="K14" s="13"/>
    </row>
    <row r="15" spans="2:11" ht="19.5" customHeight="1">
      <c r="B15" s="19">
        <v>8</v>
      </c>
      <c r="C15" s="19" t="s">
        <v>64</v>
      </c>
      <c r="D15" s="14" t="s">
        <v>65</v>
      </c>
      <c r="E15" s="19" t="s">
        <v>47</v>
      </c>
      <c r="F15" s="19" t="s">
        <v>48</v>
      </c>
      <c r="G15" s="19"/>
      <c r="H15" s="19">
        <v>1</v>
      </c>
      <c r="I15" s="21" t="s">
        <v>53</v>
      </c>
      <c r="J15" s="22"/>
      <c r="K15" s="13"/>
    </row>
    <row r="16" spans="2:11" ht="19.5" customHeight="1">
      <c r="B16" s="19">
        <v>9</v>
      </c>
      <c r="C16" s="19" t="s">
        <v>66</v>
      </c>
      <c r="D16" s="14" t="s">
        <v>67</v>
      </c>
      <c r="E16" s="19" t="s">
        <v>47</v>
      </c>
      <c r="F16" s="19" t="s">
        <v>48</v>
      </c>
      <c r="G16" s="19"/>
      <c r="H16" s="19">
        <v>1</v>
      </c>
      <c r="I16" s="21" t="s">
        <v>53</v>
      </c>
      <c r="J16" s="22"/>
      <c r="K16" s="13"/>
    </row>
    <row r="17" spans="2:11" ht="19.5" customHeight="1">
      <c r="B17" s="19">
        <v>10</v>
      </c>
      <c r="C17" s="19" t="s">
        <v>68</v>
      </c>
      <c r="D17" s="14" t="s">
        <v>69</v>
      </c>
      <c r="E17" s="19" t="s">
        <v>47</v>
      </c>
      <c r="F17" s="19" t="s">
        <v>48</v>
      </c>
      <c r="G17" s="19"/>
      <c r="H17" s="19">
        <v>1</v>
      </c>
      <c r="I17" s="21" t="s">
        <v>53</v>
      </c>
      <c r="J17" s="22"/>
      <c r="K17" s="13"/>
    </row>
    <row r="18" spans="2:11" ht="19.5" customHeight="1">
      <c r="B18" s="19">
        <v>11</v>
      </c>
      <c r="C18" s="19" t="s">
        <v>70</v>
      </c>
      <c r="D18" s="14" t="s">
        <v>71</v>
      </c>
      <c r="E18" s="19" t="s">
        <v>47</v>
      </c>
      <c r="F18" s="19" t="s">
        <v>48</v>
      </c>
      <c r="G18" s="19"/>
      <c r="H18" s="19">
        <v>1</v>
      </c>
      <c r="I18" s="21" t="s">
        <v>53</v>
      </c>
      <c r="J18" s="22"/>
      <c r="K18" s="13"/>
    </row>
    <row r="19" spans="2:11" ht="19.5" customHeight="1">
      <c r="B19" s="19">
        <v>12</v>
      </c>
      <c r="C19" s="19" t="s">
        <v>72</v>
      </c>
      <c r="D19" s="14" t="s">
        <v>73</v>
      </c>
      <c r="E19" s="19" t="s">
        <v>47</v>
      </c>
      <c r="F19" s="19" t="s">
        <v>48</v>
      </c>
      <c r="G19" s="19"/>
      <c r="H19" s="19">
        <v>1</v>
      </c>
      <c r="I19" s="21" t="s">
        <v>53</v>
      </c>
      <c r="J19" s="22"/>
      <c r="K19" s="13"/>
    </row>
    <row r="20" spans="2:11" ht="19.5" customHeight="1">
      <c r="B20" s="19">
        <v>13</v>
      </c>
      <c r="C20" s="19" t="s">
        <v>74</v>
      </c>
      <c r="D20" s="14" t="s">
        <v>75</v>
      </c>
      <c r="E20" s="19" t="s">
        <v>48</v>
      </c>
      <c r="F20" s="19" t="s">
        <v>47</v>
      </c>
      <c r="G20" s="19"/>
      <c r="H20" s="19">
        <v>1</v>
      </c>
      <c r="I20" s="21" t="s">
        <v>53</v>
      </c>
      <c r="J20" s="22"/>
      <c r="K20" s="13"/>
    </row>
    <row r="21" spans="2:11" ht="19.5" customHeight="1">
      <c r="B21" s="19">
        <v>14</v>
      </c>
      <c r="C21" s="19" t="s">
        <v>76</v>
      </c>
      <c r="D21" s="14" t="s">
        <v>77</v>
      </c>
      <c r="E21" s="19" t="s">
        <v>47</v>
      </c>
      <c r="F21" s="19" t="s">
        <v>48</v>
      </c>
      <c r="G21" s="19"/>
      <c r="H21" s="19">
        <v>1</v>
      </c>
      <c r="I21" s="21" t="s">
        <v>53</v>
      </c>
      <c r="J21" s="22"/>
      <c r="K21" s="13"/>
    </row>
    <row r="22" spans="2:11" ht="19.5" customHeight="1">
      <c r="B22" s="19">
        <v>15</v>
      </c>
      <c r="C22" s="23"/>
      <c r="D22" s="24" t="s">
        <v>78</v>
      </c>
      <c r="E22" s="23"/>
      <c r="F22" s="23"/>
      <c r="G22" s="23"/>
      <c r="H22" s="23"/>
      <c r="I22" s="21" t="s">
        <v>53</v>
      </c>
      <c r="J22" s="24"/>
      <c r="K22" s="24"/>
    </row>
    <row r="23" spans="2:11" ht="19.5" customHeight="1">
      <c r="B23" s="19">
        <v>16</v>
      </c>
      <c r="C23" s="23"/>
      <c r="D23" s="24" t="s">
        <v>78</v>
      </c>
      <c r="E23" s="23"/>
      <c r="F23" s="23"/>
      <c r="G23" s="23"/>
      <c r="H23" s="23"/>
      <c r="I23" s="21" t="s">
        <v>53</v>
      </c>
      <c r="J23" s="24"/>
      <c r="K23" s="24"/>
    </row>
    <row r="24" spans="2:11" ht="19.5" customHeight="1">
      <c r="B24" s="19">
        <v>17</v>
      </c>
      <c r="C24" s="23"/>
      <c r="D24" s="24" t="s">
        <v>78</v>
      </c>
      <c r="E24" s="23"/>
      <c r="F24" s="23"/>
      <c r="G24" s="23"/>
      <c r="H24" s="23"/>
      <c r="I24" s="21" t="s">
        <v>53</v>
      </c>
      <c r="J24" s="24"/>
      <c r="K24" s="24"/>
    </row>
    <row r="25" spans="2:11" ht="19.5" customHeight="1">
      <c r="B25" s="19">
        <v>18</v>
      </c>
      <c r="C25" s="23"/>
      <c r="D25" s="24" t="s">
        <v>78</v>
      </c>
      <c r="E25" s="23"/>
      <c r="F25" s="23"/>
      <c r="G25" s="23"/>
      <c r="H25" s="23"/>
      <c r="I25" s="21" t="s">
        <v>53</v>
      </c>
      <c r="J25" s="24"/>
      <c r="K25" s="24"/>
    </row>
    <row r="26" spans="2:11" ht="19.5" customHeight="1">
      <c r="B26" s="19">
        <v>19</v>
      </c>
      <c r="C26" s="23"/>
      <c r="D26" s="24" t="s">
        <v>78</v>
      </c>
      <c r="E26" s="23"/>
      <c r="F26" s="23"/>
      <c r="G26" s="23"/>
      <c r="H26" s="23"/>
      <c r="I26" s="21" t="s">
        <v>53</v>
      </c>
      <c r="J26" s="24"/>
      <c r="K26" s="24"/>
    </row>
    <row r="27" spans="2:11" ht="19.5" customHeight="1">
      <c r="B27" s="19">
        <v>20</v>
      </c>
      <c r="C27" s="23"/>
      <c r="D27" s="24" t="s">
        <v>78</v>
      </c>
      <c r="E27" s="23"/>
      <c r="F27" s="23"/>
      <c r="G27" s="23"/>
      <c r="H27" s="23"/>
      <c r="I27" s="21" t="s">
        <v>53</v>
      </c>
      <c r="J27" s="24"/>
      <c r="K27" s="24"/>
    </row>
    <row r="28" spans="2:11" ht="19.5" customHeight="1">
      <c r="B28" s="19">
        <v>21</v>
      </c>
      <c r="C28" s="23"/>
      <c r="D28" s="24" t="s">
        <v>78</v>
      </c>
      <c r="E28" s="23"/>
      <c r="F28" s="23"/>
      <c r="G28" s="23"/>
      <c r="H28" s="23"/>
      <c r="I28" s="21" t="s">
        <v>53</v>
      </c>
      <c r="J28" s="24"/>
      <c r="K28" s="24"/>
    </row>
    <row r="29" spans="2:11" ht="19.5" customHeight="1">
      <c r="B29" s="19">
        <v>22</v>
      </c>
      <c r="C29" s="23"/>
      <c r="D29" s="24" t="s">
        <v>78</v>
      </c>
      <c r="E29" s="23"/>
      <c r="F29" s="23"/>
      <c r="G29" s="23"/>
      <c r="H29" s="23"/>
      <c r="I29" s="21" t="s">
        <v>53</v>
      </c>
      <c r="J29" s="24"/>
      <c r="K29" s="24"/>
    </row>
    <row r="30" spans="2:11" ht="19.5" customHeight="1">
      <c r="B30" s="19">
        <v>23</v>
      </c>
      <c r="C30" s="23"/>
      <c r="D30" s="24" t="s">
        <v>78</v>
      </c>
      <c r="E30" s="23"/>
      <c r="F30" s="23"/>
      <c r="G30" s="23"/>
      <c r="H30" s="23"/>
      <c r="I30" s="21" t="s">
        <v>53</v>
      </c>
      <c r="J30" s="24"/>
      <c r="K30" s="24"/>
    </row>
    <row r="31" spans="2:11" ht="19.5" customHeight="1">
      <c r="B31" s="19">
        <v>24</v>
      </c>
      <c r="C31" s="23"/>
      <c r="D31" s="24" t="s">
        <v>78</v>
      </c>
      <c r="E31" s="23"/>
      <c r="F31" s="23"/>
      <c r="G31" s="23"/>
      <c r="H31" s="23"/>
      <c r="I31" s="21" t="s">
        <v>53</v>
      </c>
      <c r="J31" s="24"/>
      <c r="K31" s="24"/>
    </row>
  </sheetData>
  <mergeCells count="3">
    <mergeCell ref="B2:K2"/>
    <mergeCell ref="B4:K4"/>
    <mergeCell ref="B5:K5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46"/>
  <sheetViews>
    <sheetView showGridLines="0" zoomScaleNormal="100" workbookViewId="0">
      <selection activeCell="E46" sqref="E46"/>
    </sheetView>
  </sheetViews>
  <sheetFormatPr defaultColWidth="8.6640625" defaultRowHeight="14.4"/>
  <cols>
    <col min="1" max="1" width="2.21875" customWidth="1"/>
    <col min="2" max="2" width="5" customWidth="1"/>
    <col min="3" max="3" width="9" customWidth="1"/>
    <col min="4" max="4" width="14" customWidth="1"/>
    <col min="5" max="5" width="33.5546875" customWidth="1"/>
    <col min="6" max="6" width="9" customWidth="1"/>
    <col min="7" max="12" width="10" customWidth="1"/>
    <col min="13" max="13" width="40" customWidth="1"/>
  </cols>
  <sheetData>
    <row r="2" spans="2:13" ht="25.5" customHeight="1">
      <c r="B2" s="8" t="s">
        <v>79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91.5" customHeight="1">
      <c r="B4" s="5" t="s">
        <v>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2:13" ht="31.5" customHeight="1">
      <c r="B6" s="17" t="s">
        <v>35</v>
      </c>
      <c r="C6" s="18" t="s">
        <v>81</v>
      </c>
      <c r="D6" s="18" t="s">
        <v>82</v>
      </c>
      <c r="E6" s="18" t="s">
        <v>83</v>
      </c>
      <c r="F6" s="18" t="s">
        <v>84</v>
      </c>
      <c r="G6" s="18" t="s">
        <v>85</v>
      </c>
      <c r="H6" s="18" t="s">
        <v>86</v>
      </c>
      <c r="I6" s="18" t="s">
        <v>87</v>
      </c>
      <c r="J6" s="18" t="s">
        <v>88</v>
      </c>
      <c r="K6" s="18" t="s">
        <v>89</v>
      </c>
      <c r="L6" s="18" t="s">
        <v>90</v>
      </c>
      <c r="M6" s="18" t="s">
        <v>91</v>
      </c>
    </row>
    <row r="7" spans="2:13" ht="18.75" customHeight="1">
      <c r="B7" s="19">
        <v>1</v>
      </c>
      <c r="C7" s="21" t="s">
        <v>49</v>
      </c>
      <c r="D7" s="20" t="s">
        <v>92</v>
      </c>
      <c r="E7" s="14" t="s">
        <v>93</v>
      </c>
      <c r="F7" s="20" t="s">
        <v>94</v>
      </c>
      <c r="G7" s="19" t="s">
        <v>95</v>
      </c>
      <c r="H7" s="19" t="s">
        <v>96</v>
      </c>
      <c r="I7" s="19" t="s">
        <v>97</v>
      </c>
      <c r="J7" s="19" t="s">
        <v>98</v>
      </c>
      <c r="K7" s="19">
        <v>60</v>
      </c>
      <c r="L7" s="19">
        <v>8</v>
      </c>
      <c r="M7" s="24"/>
    </row>
    <row r="8" spans="2:13" ht="18.75" customHeight="1">
      <c r="B8" s="19">
        <v>2</v>
      </c>
      <c r="C8" s="21" t="s">
        <v>49</v>
      </c>
      <c r="D8" s="20" t="s">
        <v>92</v>
      </c>
      <c r="E8" s="14" t="s">
        <v>99</v>
      </c>
      <c r="F8" s="20" t="s">
        <v>94</v>
      </c>
      <c r="G8" s="19" t="s">
        <v>100</v>
      </c>
      <c r="H8" s="19" t="s">
        <v>101</v>
      </c>
      <c r="I8" s="19" t="s">
        <v>97</v>
      </c>
      <c r="J8" s="19" t="s">
        <v>98</v>
      </c>
      <c r="K8" s="19">
        <v>60</v>
      </c>
      <c r="L8" s="19">
        <v>8</v>
      </c>
      <c r="M8" s="24"/>
    </row>
    <row r="9" spans="2:13" ht="18.75" customHeight="1">
      <c r="B9" s="19">
        <v>3</v>
      </c>
      <c r="C9" s="21" t="s">
        <v>49</v>
      </c>
      <c r="D9" s="20" t="s">
        <v>92</v>
      </c>
      <c r="E9" s="14" t="s">
        <v>102</v>
      </c>
      <c r="F9" s="20" t="s">
        <v>94</v>
      </c>
      <c r="G9" s="19" t="s">
        <v>95</v>
      </c>
      <c r="H9" s="19" t="s">
        <v>96</v>
      </c>
      <c r="I9" s="19" t="s">
        <v>97</v>
      </c>
      <c r="J9" s="19" t="s">
        <v>98</v>
      </c>
      <c r="K9" s="19">
        <v>60</v>
      </c>
      <c r="L9" s="19">
        <v>8</v>
      </c>
      <c r="M9" s="24"/>
    </row>
    <row r="10" spans="2:13" ht="18.75" customHeight="1">
      <c r="B10" s="19">
        <v>4</v>
      </c>
      <c r="C10" s="21" t="s">
        <v>49</v>
      </c>
      <c r="D10" s="20" t="s">
        <v>103</v>
      </c>
      <c r="E10" s="14" t="s">
        <v>104</v>
      </c>
      <c r="F10" s="20" t="s">
        <v>94</v>
      </c>
      <c r="G10" s="19" t="s">
        <v>100</v>
      </c>
      <c r="H10" s="19" t="s">
        <v>105</v>
      </c>
      <c r="I10" s="19" t="s">
        <v>97</v>
      </c>
      <c r="J10" s="19" t="s">
        <v>98</v>
      </c>
      <c r="K10" s="19">
        <v>60</v>
      </c>
      <c r="L10" s="19">
        <v>6</v>
      </c>
      <c r="M10" s="24"/>
    </row>
    <row r="11" spans="2:13" ht="18.75" customHeight="1">
      <c r="B11" s="19">
        <v>5</v>
      </c>
      <c r="C11" s="21" t="s">
        <v>49</v>
      </c>
      <c r="D11" s="20" t="s">
        <v>103</v>
      </c>
      <c r="E11" s="14" t="s">
        <v>106</v>
      </c>
      <c r="F11" s="20" t="s">
        <v>94</v>
      </c>
      <c r="G11" s="19" t="s">
        <v>95</v>
      </c>
      <c r="H11" s="19" t="s">
        <v>107</v>
      </c>
      <c r="I11" s="19" t="s">
        <v>97</v>
      </c>
      <c r="J11" s="19" t="s">
        <v>98</v>
      </c>
      <c r="K11" s="19">
        <v>60</v>
      </c>
      <c r="L11" s="19">
        <v>6</v>
      </c>
      <c r="M11" s="24"/>
    </row>
    <row r="12" spans="2:13" ht="18.75" customHeight="1">
      <c r="B12" s="19">
        <v>6</v>
      </c>
      <c r="C12" s="21" t="s">
        <v>49</v>
      </c>
      <c r="D12" s="20" t="s">
        <v>103</v>
      </c>
      <c r="E12" s="14" t="s">
        <v>108</v>
      </c>
      <c r="F12" s="20" t="s">
        <v>94</v>
      </c>
      <c r="G12" s="19" t="s">
        <v>109</v>
      </c>
      <c r="H12" s="19" t="s">
        <v>101</v>
      </c>
      <c r="I12" s="19" t="s">
        <v>97</v>
      </c>
      <c r="J12" s="19" t="s">
        <v>98</v>
      </c>
      <c r="K12" s="19">
        <v>60</v>
      </c>
      <c r="L12" s="19">
        <v>6</v>
      </c>
      <c r="M12" s="24"/>
    </row>
    <row r="13" spans="2:13" ht="18.75" customHeight="1">
      <c r="B13" s="19">
        <v>7</v>
      </c>
      <c r="C13" s="21" t="s">
        <v>49</v>
      </c>
      <c r="D13" s="20" t="s">
        <v>103</v>
      </c>
      <c r="E13" s="14" t="s">
        <v>110</v>
      </c>
      <c r="F13" s="20" t="s">
        <v>94</v>
      </c>
      <c r="G13" s="19" t="s">
        <v>111</v>
      </c>
      <c r="H13" s="19" t="s">
        <v>96</v>
      </c>
      <c r="I13" s="19" t="s">
        <v>97</v>
      </c>
      <c r="J13" s="19" t="s">
        <v>98</v>
      </c>
      <c r="K13" s="19">
        <v>60</v>
      </c>
      <c r="L13" s="19">
        <v>6</v>
      </c>
      <c r="M13" s="24"/>
    </row>
    <row r="14" spans="2:13" ht="18.75" customHeight="1">
      <c r="B14" s="19">
        <v>8</v>
      </c>
      <c r="C14" s="21" t="s">
        <v>49</v>
      </c>
      <c r="D14" s="20" t="s">
        <v>103</v>
      </c>
      <c r="E14" s="14" t="s">
        <v>112</v>
      </c>
      <c r="F14" s="20" t="s">
        <v>94</v>
      </c>
      <c r="G14" s="19" t="s">
        <v>95</v>
      </c>
      <c r="H14" s="19" t="s">
        <v>101</v>
      </c>
      <c r="I14" s="19" t="s">
        <v>97</v>
      </c>
      <c r="J14" s="19" t="s">
        <v>98</v>
      </c>
      <c r="K14" s="19">
        <v>60</v>
      </c>
      <c r="L14" s="19">
        <v>7</v>
      </c>
      <c r="M14" s="24"/>
    </row>
    <row r="15" spans="2:13" ht="18.75" customHeight="1">
      <c r="B15" s="19">
        <v>9</v>
      </c>
      <c r="C15" s="21" t="s">
        <v>49</v>
      </c>
      <c r="D15" s="20" t="s">
        <v>103</v>
      </c>
      <c r="E15" s="14" t="s">
        <v>113</v>
      </c>
      <c r="F15" s="20" t="s">
        <v>94</v>
      </c>
      <c r="G15" s="19" t="s">
        <v>95</v>
      </c>
      <c r="H15" s="19" t="s">
        <v>107</v>
      </c>
      <c r="I15" s="19" t="s">
        <v>97</v>
      </c>
      <c r="J15" s="19" t="s">
        <v>98</v>
      </c>
      <c r="K15" s="19">
        <v>60</v>
      </c>
      <c r="L15" s="19">
        <v>6</v>
      </c>
      <c r="M15" s="24"/>
    </row>
    <row r="16" spans="2:13" ht="18.75" customHeight="1">
      <c r="B16" s="19">
        <v>10</v>
      </c>
      <c r="C16" s="21" t="s">
        <v>49</v>
      </c>
      <c r="D16" s="20" t="s">
        <v>103</v>
      </c>
      <c r="E16" s="14" t="s">
        <v>114</v>
      </c>
      <c r="F16" s="20" t="s">
        <v>94</v>
      </c>
      <c r="G16" s="19" t="s">
        <v>95</v>
      </c>
      <c r="H16" s="19" t="s">
        <v>105</v>
      </c>
      <c r="I16" s="19" t="s">
        <v>97</v>
      </c>
      <c r="J16" s="19" t="s">
        <v>98</v>
      </c>
      <c r="K16" s="19">
        <v>60</v>
      </c>
      <c r="L16" s="19">
        <v>5</v>
      </c>
      <c r="M16" s="24"/>
    </row>
    <row r="17" spans="2:13" ht="18.75" customHeight="1">
      <c r="B17" s="19">
        <v>11</v>
      </c>
      <c r="C17" s="21" t="s">
        <v>49</v>
      </c>
      <c r="D17" s="20" t="s">
        <v>115</v>
      </c>
      <c r="E17" s="25" t="s">
        <v>116</v>
      </c>
      <c r="F17" s="20" t="s">
        <v>94</v>
      </c>
      <c r="G17" s="19" t="s">
        <v>117</v>
      </c>
      <c r="H17" s="19" t="s">
        <v>105</v>
      </c>
      <c r="I17" s="23"/>
      <c r="J17" s="23"/>
      <c r="K17" s="23">
        <v>60</v>
      </c>
      <c r="L17" s="19">
        <v>8</v>
      </c>
      <c r="M17" s="24"/>
    </row>
    <row r="18" spans="2:13" ht="18.75" customHeight="1">
      <c r="B18" s="19">
        <v>12</v>
      </c>
      <c r="C18" s="21" t="s">
        <v>49</v>
      </c>
      <c r="D18" s="20" t="s">
        <v>115</v>
      </c>
      <c r="E18" s="25" t="s">
        <v>118</v>
      </c>
      <c r="F18" s="20" t="s">
        <v>94</v>
      </c>
      <c r="G18" s="19" t="s">
        <v>119</v>
      </c>
      <c r="H18" s="19" t="s">
        <v>107</v>
      </c>
      <c r="I18" s="23"/>
      <c r="J18" s="23"/>
      <c r="K18" s="23">
        <v>60</v>
      </c>
      <c r="L18" s="19">
        <v>8</v>
      </c>
      <c r="M18" s="24"/>
    </row>
    <row r="19" spans="2:13" ht="18.75" customHeight="1">
      <c r="B19" s="19">
        <v>13</v>
      </c>
      <c r="C19" s="21" t="s">
        <v>49</v>
      </c>
      <c r="D19" s="20" t="s">
        <v>115</v>
      </c>
      <c r="E19" s="25" t="s">
        <v>120</v>
      </c>
      <c r="F19" s="20" t="s">
        <v>94</v>
      </c>
      <c r="G19" s="19" t="s">
        <v>121</v>
      </c>
      <c r="H19" s="19" t="s">
        <v>122</v>
      </c>
      <c r="I19" s="23"/>
      <c r="J19" s="23"/>
      <c r="K19" s="23">
        <v>60</v>
      </c>
      <c r="L19" s="19">
        <v>8</v>
      </c>
      <c r="M19" s="24"/>
    </row>
    <row r="20" spans="2:13" ht="18.75" customHeight="1">
      <c r="B20" s="19">
        <v>14</v>
      </c>
      <c r="C20" s="21" t="s">
        <v>49</v>
      </c>
      <c r="D20" s="20" t="s">
        <v>115</v>
      </c>
      <c r="E20" s="25" t="s">
        <v>123</v>
      </c>
      <c r="F20" s="20" t="s">
        <v>94</v>
      </c>
      <c r="G20" s="19" t="s">
        <v>100</v>
      </c>
      <c r="H20" s="19" t="s">
        <v>101</v>
      </c>
      <c r="I20" s="23"/>
      <c r="J20" s="23"/>
      <c r="K20" s="23">
        <v>60</v>
      </c>
      <c r="L20" s="19">
        <v>8</v>
      </c>
      <c r="M20" s="24"/>
    </row>
    <row r="21" spans="2:13" ht="18.75" customHeight="1">
      <c r="B21" s="19">
        <v>15</v>
      </c>
      <c r="C21" s="21" t="s">
        <v>49</v>
      </c>
      <c r="D21" s="20" t="s">
        <v>115</v>
      </c>
      <c r="E21" s="25" t="s">
        <v>124</v>
      </c>
      <c r="F21" s="20" t="s">
        <v>94</v>
      </c>
      <c r="G21" s="19" t="s">
        <v>125</v>
      </c>
      <c r="H21" s="19" t="s">
        <v>126</v>
      </c>
      <c r="I21" s="23"/>
      <c r="J21" s="23"/>
      <c r="K21" s="23">
        <v>60</v>
      </c>
      <c r="L21" s="19">
        <v>8</v>
      </c>
      <c r="M21" s="24"/>
    </row>
    <row r="22" spans="2:13" ht="18.75" customHeight="1">
      <c r="B22" s="19">
        <v>16</v>
      </c>
      <c r="C22" s="21" t="s">
        <v>49</v>
      </c>
      <c r="D22" s="20" t="s">
        <v>115</v>
      </c>
      <c r="E22" s="25" t="s">
        <v>127</v>
      </c>
      <c r="F22" s="20" t="s">
        <v>94</v>
      </c>
      <c r="G22" s="19" t="s">
        <v>95</v>
      </c>
      <c r="H22" s="19" t="s">
        <v>96</v>
      </c>
      <c r="I22" s="23"/>
      <c r="J22" s="23"/>
      <c r="K22" s="23">
        <v>60</v>
      </c>
      <c r="L22" s="19">
        <v>8</v>
      </c>
      <c r="M22" s="24"/>
    </row>
    <row r="23" spans="2:13" ht="18.75" customHeight="1">
      <c r="B23" s="19">
        <v>17</v>
      </c>
      <c r="C23" s="21" t="s">
        <v>49</v>
      </c>
      <c r="D23" s="20" t="s">
        <v>115</v>
      </c>
      <c r="E23" s="25" t="s">
        <v>128</v>
      </c>
      <c r="F23" s="20" t="s">
        <v>94</v>
      </c>
      <c r="G23" s="19" t="s">
        <v>109</v>
      </c>
      <c r="H23" s="19" t="s">
        <v>129</v>
      </c>
      <c r="I23" s="23"/>
      <c r="J23" s="23"/>
      <c r="K23" s="23">
        <v>60</v>
      </c>
      <c r="L23" s="19">
        <v>8</v>
      </c>
      <c r="M23" s="24"/>
    </row>
    <row r="24" spans="2:13" ht="18.75" customHeight="1">
      <c r="B24" s="19">
        <v>18</v>
      </c>
      <c r="C24" s="21" t="s">
        <v>49</v>
      </c>
      <c r="D24" s="20" t="s">
        <v>115</v>
      </c>
      <c r="E24" s="25" t="s">
        <v>130</v>
      </c>
      <c r="F24" s="20" t="s">
        <v>94</v>
      </c>
      <c r="G24" s="19" t="s">
        <v>111</v>
      </c>
      <c r="H24" s="19" t="s">
        <v>131</v>
      </c>
      <c r="I24" s="23"/>
      <c r="J24" s="23"/>
      <c r="K24" s="23">
        <v>60</v>
      </c>
      <c r="L24" s="19">
        <v>8</v>
      </c>
      <c r="M24" s="24"/>
    </row>
    <row r="25" spans="2:13" ht="18.75" customHeight="1">
      <c r="B25" s="19">
        <v>19</v>
      </c>
      <c r="C25" s="21" t="s">
        <v>49</v>
      </c>
      <c r="D25" s="20" t="s">
        <v>115</v>
      </c>
      <c r="E25" s="25" t="s">
        <v>132</v>
      </c>
      <c r="F25" s="20" t="s">
        <v>94</v>
      </c>
      <c r="G25" s="19" t="s">
        <v>97</v>
      </c>
      <c r="H25" s="19" t="s">
        <v>133</v>
      </c>
      <c r="I25" s="23"/>
      <c r="J25" s="23"/>
      <c r="K25" s="23">
        <v>60</v>
      </c>
      <c r="L25" s="19">
        <v>8</v>
      </c>
      <c r="M25" s="24"/>
    </row>
    <row r="26" spans="2:13" ht="18.75" customHeight="1">
      <c r="B26" s="19">
        <v>20</v>
      </c>
      <c r="C26" s="21" t="s">
        <v>49</v>
      </c>
      <c r="D26" s="20" t="s">
        <v>115</v>
      </c>
      <c r="E26" s="25" t="s">
        <v>134</v>
      </c>
      <c r="F26" s="20" t="s">
        <v>94</v>
      </c>
      <c r="G26" s="19" t="s">
        <v>98</v>
      </c>
      <c r="H26" s="19" t="s">
        <v>135</v>
      </c>
      <c r="I26" s="23"/>
      <c r="J26" s="23"/>
      <c r="K26" s="23">
        <v>60</v>
      </c>
      <c r="L26" s="19">
        <v>8</v>
      </c>
      <c r="M26" s="24"/>
    </row>
    <row r="27" spans="2:13" ht="18.75" customHeight="1">
      <c r="B27" s="19">
        <v>21</v>
      </c>
      <c r="C27" s="21" t="s">
        <v>49</v>
      </c>
      <c r="D27" s="20" t="s">
        <v>115</v>
      </c>
      <c r="E27" s="25" t="s">
        <v>136</v>
      </c>
      <c r="F27" s="20" t="s">
        <v>94</v>
      </c>
      <c r="G27" s="19" t="s">
        <v>98</v>
      </c>
      <c r="H27" s="19" t="s">
        <v>135</v>
      </c>
      <c r="I27" s="23"/>
      <c r="J27" s="23"/>
      <c r="K27" s="23">
        <v>60</v>
      </c>
      <c r="L27" s="19">
        <v>8</v>
      </c>
      <c r="M27" s="24"/>
    </row>
    <row r="28" spans="2:13" ht="18.75" customHeight="1">
      <c r="B28" s="19">
        <v>22</v>
      </c>
      <c r="C28" s="21" t="s">
        <v>49</v>
      </c>
      <c r="D28" s="20" t="s">
        <v>115</v>
      </c>
      <c r="E28" s="25" t="s">
        <v>137</v>
      </c>
      <c r="F28" s="20" t="s">
        <v>94</v>
      </c>
      <c r="G28" s="19" t="s">
        <v>138</v>
      </c>
      <c r="H28" s="19" t="s">
        <v>139</v>
      </c>
      <c r="I28" s="23"/>
      <c r="J28" s="23"/>
      <c r="K28" s="23">
        <v>60</v>
      </c>
      <c r="L28" s="19">
        <v>8</v>
      </c>
      <c r="M28" s="24"/>
    </row>
    <row r="29" spans="2:13" ht="18.75" customHeight="1">
      <c r="B29" s="19">
        <v>23</v>
      </c>
      <c r="C29" s="21" t="s">
        <v>49</v>
      </c>
      <c r="D29" s="20" t="s">
        <v>115</v>
      </c>
      <c r="E29" s="25" t="s">
        <v>140</v>
      </c>
      <c r="F29" s="20" t="s">
        <v>94</v>
      </c>
      <c r="G29" s="19" t="s">
        <v>139</v>
      </c>
      <c r="H29" s="19" t="s">
        <v>100</v>
      </c>
      <c r="I29" s="23"/>
      <c r="J29" s="23"/>
      <c r="K29" s="23">
        <v>60</v>
      </c>
      <c r="L29" s="19">
        <v>8</v>
      </c>
      <c r="M29" s="24"/>
    </row>
    <row r="30" spans="2:13" ht="18.75" customHeight="1">
      <c r="B30" s="19">
        <v>24</v>
      </c>
      <c r="C30" s="21" t="s">
        <v>49</v>
      </c>
      <c r="D30" s="20" t="s">
        <v>115</v>
      </c>
      <c r="E30" s="14" t="s">
        <v>141</v>
      </c>
      <c r="F30" s="20" t="s">
        <v>94</v>
      </c>
      <c r="G30" s="19" t="s">
        <v>98</v>
      </c>
      <c r="H30" s="19" t="s">
        <v>95</v>
      </c>
      <c r="I30" s="23"/>
      <c r="J30" s="23"/>
      <c r="K30" s="23"/>
      <c r="L30" s="19"/>
      <c r="M30" s="24"/>
    </row>
    <row r="31" spans="2:13" ht="18.75" customHeight="1">
      <c r="B31" s="19">
        <v>25</v>
      </c>
      <c r="C31" s="21" t="s">
        <v>49</v>
      </c>
      <c r="D31" s="20" t="s">
        <v>115</v>
      </c>
      <c r="E31" s="14" t="s">
        <v>142</v>
      </c>
      <c r="F31" s="20" t="s">
        <v>94</v>
      </c>
      <c r="G31" s="19"/>
      <c r="H31" s="19"/>
      <c r="I31" s="23"/>
      <c r="J31" s="23"/>
      <c r="K31" s="23"/>
      <c r="L31" s="19"/>
      <c r="M31" s="24"/>
    </row>
    <row r="32" spans="2:13" ht="18.75" customHeight="1">
      <c r="B32" s="19">
        <v>26</v>
      </c>
      <c r="C32" s="21" t="s">
        <v>49</v>
      </c>
      <c r="D32" s="20" t="s">
        <v>143</v>
      </c>
      <c r="E32" s="14" t="s">
        <v>144</v>
      </c>
      <c r="F32" s="20" t="s">
        <v>145</v>
      </c>
      <c r="G32" s="19"/>
      <c r="H32" s="19"/>
      <c r="I32" s="19"/>
      <c r="J32" s="19"/>
      <c r="K32" s="19"/>
      <c r="L32" s="19"/>
      <c r="M32" s="24"/>
    </row>
    <row r="33" spans="2:13" ht="18.75" customHeight="1">
      <c r="B33" s="19">
        <v>27</v>
      </c>
      <c r="C33" s="21" t="s">
        <v>49</v>
      </c>
      <c r="D33" s="20" t="s">
        <v>143</v>
      </c>
      <c r="E33" s="14" t="s">
        <v>146</v>
      </c>
      <c r="F33" s="20" t="s">
        <v>145</v>
      </c>
      <c r="G33" s="19"/>
      <c r="H33" s="19"/>
      <c r="I33" s="19"/>
      <c r="J33" s="19"/>
      <c r="K33" s="19"/>
      <c r="L33" s="19"/>
      <c r="M33" s="24"/>
    </row>
    <row r="34" spans="2:13" ht="18.75" customHeight="1">
      <c r="B34" s="19">
        <v>28</v>
      </c>
      <c r="C34" s="21" t="s">
        <v>53</v>
      </c>
      <c r="D34" s="23"/>
      <c r="E34" s="24" t="s">
        <v>147</v>
      </c>
      <c r="F34" s="23"/>
      <c r="G34" s="23"/>
      <c r="H34" s="23"/>
      <c r="I34" s="23"/>
      <c r="J34" s="23"/>
      <c r="K34" s="23"/>
      <c r="L34" s="23"/>
      <c r="M34" s="23"/>
    </row>
    <row r="35" spans="2:13" ht="18.75" customHeight="1">
      <c r="B35" s="19">
        <v>29</v>
      </c>
      <c r="C35" s="21" t="s">
        <v>53</v>
      </c>
      <c r="D35" s="23"/>
      <c r="E35" s="24" t="s">
        <v>147</v>
      </c>
      <c r="F35" s="23"/>
      <c r="G35" s="23"/>
      <c r="H35" s="23"/>
      <c r="I35" s="23"/>
      <c r="J35" s="23"/>
      <c r="K35" s="23"/>
      <c r="L35" s="23"/>
      <c r="M35" s="23"/>
    </row>
    <row r="36" spans="2:13" ht="18.75" customHeight="1">
      <c r="B36" s="19">
        <v>30</v>
      </c>
      <c r="C36" s="21" t="s">
        <v>53</v>
      </c>
      <c r="D36" s="23"/>
      <c r="E36" s="24" t="s">
        <v>147</v>
      </c>
      <c r="F36" s="23"/>
      <c r="G36" s="23"/>
      <c r="H36" s="23"/>
      <c r="I36" s="23"/>
      <c r="J36" s="23"/>
      <c r="K36" s="23"/>
      <c r="L36" s="23"/>
      <c r="M36" s="23"/>
    </row>
    <row r="37" spans="2:13" ht="18.75" customHeight="1">
      <c r="B37" s="19">
        <v>31</v>
      </c>
      <c r="C37" s="21" t="s">
        <v>53</v>
      </c>
      <c r="D37" s="23"/>
      <c r="E37" s="24" t="s">
        <v>147</v>
      </c>
      <c r="F37" s="23"/>
      <c r="G37" s="23"/>
      <c r="H37" s="23"/>
      <c r="I37" s="23"/>
      <c r="J37" s="23"/>
      <c r="K37" s="23"/>
      <c r="L37" s="23"/>
      <c r="M37" s="23"/>
    </row>
    <row r="38" spans="2:13" ht="18.75" customHeight="1">
      <c r="B38" s="19">
        <v>32</v>
      </c>
      <c r="C38" s="21" t="s">
        <v>53</v>
      </c>
      <c r="D38" s="23"/>
      <c r="E38" s="24" t="s">
        <v>147</v>
      </c>
      <c r="F38" s="23"/>
      <c r="G38" s="23"/>
      <c r="H38" s="23"/>
      <c r="I38" s="23"/>
      <c r="J38" s="23"/>
      <c r="K38" s="23"/>
      <c r="L38" s="23"/>
      <c r="M38" s="23"/>
    </row>
    <row r="39" spans="2:13" ht="18.75" customHeight="1">
      <c r="B39" s="19">
        <v>33</v>
      </c>
      <c r="C39" s="21" t="s">
        <v>53</v>
      </c>
      <c r="D39" s="23"/>
      <c r="E39" s="24" t="s">
        <v>147</v>
      </c>
      <c r="F39" s="23"/>
      <c r="G39" s="23"/>
      <c r="H39" s="23"/>
      <c r="I39" s="23"/>
      <c r="J39" s="23"/>
      <c r="K39" s="23"/>
      <c r="L39" s="23"/>
      <c r="M39" s="23"/>
    </row>
    <row r="40" spans="2:13" ht="18.75" customHeight="1">
      <c r="B40" s="19">
        <v>34</v>
      </c>
      <c r="C40" s="21" t="s">
        <v>53</v>
      </c>
      <c r="D40" s="23"/>
      <c r="E40" s="24" t="s">
        <v>147</v>
      </c>
      <c r="F40" s="23"/>
      <c r="G40" s="23"/>
      <c r="H40" s="23"/>
      <c r="I40" s="23"/>
      <c r="J40" s="23"/>
      <c r="K40" s="23"/>
      <c r="L40" s="23"/>
      <c r="M40" s="23"/>
    </row>
    <row r="41" spans="2:13" ht="18.75" customHeight="1">
      <c r="B41" s="19">
        <v>35</v>
      </c>
      <c r="C41" s="21" t="s">
        <v>53</v>
      </c>
      <c r="D41" s="23"/>
      <c r="E41" s="24" t="s">
        <v>147</v>
      </c>
      <c r="F41" s="23"/>
      <c r="G41" s="23"/>
      <c r="H41" s="23"/>
      <c r="I41" s="23"/>
      <c r="J41" s="23"/>
      <c r="K41" s="23"/>
      <c r="L41" s="23"/>
      <c r="M41" s="23"/>
    </row>
    <row r="42" spans="2:13" ht="18.75" customHeight="1">
      <c r="B42" s="19">
        <v>36</v>
      </c>
      <c r="C42" s="21" t="s">
        <v>53</v>
      </c>
      <c r="D42" s="23"/>
      <c r="E42" s="24" t="s">
        <v>147</v>
      </c>
      <c r="F42" s="23"/>
      <c r="G42" s="23"/>
      <c r="H42" s="23"/>
      <c r="I42" s="23"/>
      <c r="J42" s="23"/>
      <c r="K42" s="23"/>
      <c r="L42" s="23"/>
      <c r="M42" s="23"/>
    </row>
    <row r="43" spans="2:13" ht="18.75" customHeight="1">
      <c r="B43" s="19">
        <v>37</v>
      </c>
      <c r="C43" s="21" t="s">
        <v>53</v>
      </c>
      <c r="D43" s="23"/>
      <c r="E43" s="24" t="s">
        <v>147</v>
      </c>
      <c r="F43" s="23"/>
      <c r="G43" s="23"/>
      <c r="H43" s="23"/>
      <c r="I43" s="23"/>
      <c r="J43" s="23"/>
      <c r="K43" s="23"/>
      <c r="L43" s="23"/>
      <c r="M43" s="23"/>
    </row>
    <row r="44" spans="2:13" ht="18.75" customHeight="1">
      <c r="B44" s="19">
        <v>38</v>
      </c>
      <c r="C44" s="21" t="s">
        <v>53</v>
      </c>
      <c r="D44" s="23"/>
      <c r="E44" s="24" t="s">
        <v>147</v>
      </c>
      <c r="F44" s="23"/>
      <c r="G44" s="23"/>
      <c r="H44" s="23"/>
      <c r="I44" s="23"/>
      <c r="J44" s="23"/>
      <c r="K44" s="23"/>
      <c r="L44" s="23"/>
      <c r="M44" s="23"/>
    </row>
    <row r="45" spans="2:13" ht="18.75" customHeight="1">
      <c r="B45" s="19">
        <v>39</v>
      </c>
      <c r="C45" s="21" t="s">
        <v>53</v>
      </c>
      <c r="D45" s="23"/>
      <c r="E45" s="24" t="s">
        <v>147</v>
      </c>
      <c r="F45" s="23"/>
      <c r="G45" s="23"/>
      <c r="H45" s="23"/>
      <c r="I45" s="23"/>
      <c r="J45" s="23"/>
      <c r="K45" s="23"/>
      <c r="L45" s="23"/>
      <c r="M45" s="23"/>
    </row>
    <row r="46" spans="2:13" ht="18.75" customHeight="1">
      <c r="B46" s="19">
        <v>40</v>
      </c>
      <c r="C46" s="21" t="s">
        <v>53</v>
      </c>
      <c r="D46" s="23"/>
      <c r="E46" s="24" t="s">
        <v>147</v>
      </c>
      <c r="F46" s="23"/>
      <c r="G46" s="23"/>
      <c r="H46" s="23"/>
      <c r="I46" s="23"/>
      <c r="J46" s="23"/>
      <c r="K46" s="23"/>
      <c r="L46" s="23"/>
      <c r="M46" s="23"/>
    </row>
  </sheetData>
  <mergeCells count="2">
    <mergeCell ref="B2:M2"/>
    <mergeCell ref="B4:M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7"/>
  <sheetViews>
    <sheetView showGridLines="0" topLeftCell="A26" zoomScaleNormal="100" workbookViewId="0">
      <selection activeCell="E40" sqref="E40"/>
    </sheetView>
  </sheetViews>
  <sheetFormatPr defaultColWidth="8.6640625" defaultRowHeight="14.4"/>
  <cols>
    <col min="1" max="1" width="2.21875" customWidth="1"/>
    <col min="2" max="2" width="5" customWidth="1"/>
    <col min="3" max="3" width="24" customWidth="1"/>
    <col min="4" max="4" width="16" customWidth="1"/>
    <col min="5" max="8" width="10" customWidth="1"/>
    <col min="9" max="9" width="34" customWidth="1"/>
  </cols>
  <sheetData>
    <row r="2" spans="2:9" ht="25.5" customHeight="1">
      <c r="B2" s="8" t="s">
        <v>148</v>
      </c>
      <c r="C2" s="8"/>
      <c r="D2" s="8"/>
      <c r="E2" s="8"/>
      <c r="F2" s="8"/>
      <c r="G2" s="8"/>
      <c r="H2" s="8"/>
      <c r="I2" s="8"/>
    </row>
    <row r="4" spans="2:9" ht="61.5" customHeight="1">
      <c r="B4" s="5" t="s">
        <v>149</v>
      </c>
      <c r="C4" s="5"/>
      <c r="D4" s="5"/>
      <c r="E4" s="5"/>
      <c r="F4" s="5"/>
      <c r="G4" s="5"/>
      <c r="H4" s="5"/>
      <c r="I4" s="5"/>
    </row>
    <row r="6" spans="2:9" ht="19.5" customHeight="1">
      <c r="B6" s="4" t="s">
        <v>35</v>
      </c>
      <c r="C6" s="3" t="s">
        <v>83</v>
      </c>
      <c r="D6" s="3" t="s">
        <v>150</v>
      </c>
      <c r="E6" s="4" t="s">
        <v>151</v>
      </c>
      <c r="F6" s="4"/>
      <c r="G6" s="4" t="s">
        <v>152</v>
      </c>
      <c r="H6" s="4"/>
      <c r="I6" s="3" t="s">
        <v>153</v>
      </c>
    </row>
    <row r="7" spans="2:9" ht="18" customHeight="1">
      <c r="B7" s="4"/>
      <c r="C7" s="4"/>
      <c r="D7" s="4"/>
      <c r="E7" s="18" t="s">
        <v>154</v>
      </c>
      <c r="F7" s="18" t="s">
        <v>155</v>
      </c>
      <c r="G7" s="18" t="s">
        <v>154</v>
      </c>
      <c r="H7" s="18" t="s">
        <v>155</v>
      </c>
      <c r="I7" s="3"/>
    </row>
    <row r="8" spans="2:9" ht="18.75" customHeight="1">
      <c r="B8" s="19">
        <v>1</v>
      </c>
      <c r="C8" s="25" t="str">
        <f>IF(OR('2-1.근무유형'!E7="",LEFT('2-1.근무유형'!E7,1)="("),"",'2-1.근무유형'!E7)</f>
        <v>기본(09:00-18:00)</v>
      </c>
      <c r="D8" s="19" t="str">
        <f>IF(OR('2-1.근무유형'!G7="",'2-1.근무유형'!H7=""),"",'2-1.근무유형'!G7&amp;"-"&amp;'2-1.근무유형'!H7)</f>
        <v>09:00-18:00</v>
      </c>
      <c r="E8" s="19" t="str">
        <f>IF('2-1.근무유형'!G7="","",'2-1.근무유형'!G7)</f>
        <v>09:00</v>
      </c>
      <c r="F8" s="19" t="str">
        <f>IFERROR(IF(OR('2-1.근무유형'!G7="",'2-1.근무유형'!H7="",'2-1.근무유형'!K7="",TIMEVALUE('2-1.근무유형'!H7)&lt;=TIMEVALUE('2-1.근무유형'!G7)),"",TEXT(TIMEVALUE('2-1.근무유형'!G7)+(TIMEVALUE('2-1.근무유형'!H7)-TIMEVALUE('2-1.근무유형'!G7)-'2-1.근무유형'!K7/1440)/2+IF(AND('2-1.근무유형'!I7&lt;&gt;"",TIMEVALUE('2-1.근무유형'!I7)&gt;=TIMEVALUE('2-1.근무유형'!G7),TIMEVALUE('2-1.근무유형'!I7)&lt;TIMEVALUE('2-1.근무유형'!G7)+(TIMEVALUE('2-1.근무유형'!H7)-TIMEVALUE('2-1.근무유형'!G7)-'2-1.근무유형'!K7/1440)/2+'2-1.근무유형'!K7/1440),'2-1.근무유형'!K7/1440,0),"hh:mm")),"")</f>
        <v>14:00</v>
      </c>
      <c r="G8" s="19" t="str">
        <f t="shared" ref="G8:G47" si="0">F8</f>
        <v>14:00</v>
      </c>
      <c r="H8" s="19" t="str">
        <f>IF('2-1.근무유형'!H7="","",'2-1.근무유형'!H7)</f>
        <v>18:00</v>
      </c>
      <c r="I8" s="24"/>
    </row>
    <row r="9" spans="2:9" ht="18.75" customHeight="1">
      <c r="B9" s="19">
        <v>2</v>
      </c>
      <c r="C9" s="25" t="str">
        <f>IF(OR('2-1.근무유형'!E8="",LEFT('2-1.근무유형'!E8,1)="("),"",'2-1.근무유형'!E8)</f>
        <v>시차(08:00-17:00)</v>
      </c>
      <c r="D9" s="19" t="str">
        <f>IF(OR('2-1.근무유형'!G8="",'2-1.근무유형'!H8=""),"",'2-1.근무유형'!G8&amp;"-"&amp;'2-1.근무유형'!H8)</f>
        <v>08:00-17:00</v>
      </c>
      <c r="E9" s="19" t="str">
        <f>IF('2-1.근무유형'!G8="","",'2-1.근무유형'!G8)</f>
        <v>08:00</v>
      </c>
      <c r="F9" s="19" t="str">
        <f>IFERROR(IF(OR('2-1.근무유형'!G8="",'2-1.근무유형'!H8="",'2-1.근무유형'!K8="",TIMEVALUE('2-1.근무유형'!H8)&lt;=TIMEVALUE('2-1.근무유형'!G8)),"",TEXT(TIMEVALUE('2-1.근무유형'!G8)+(TIMEVALUE('2-1.근무유형'!H8)-TIMEVALUE('2-1.근무유형'!G8)-'2-1.근무유형'!K8/1440)/2+IF(AND('2-1.근무유형'!I8&lt;&gt;"",TIMEVALUE('2-1.근무유형'!I8)&gt;=TIMEVALUE('2-1.근무유형'!G8),TIMEVALUE('2-1.근무유형'!I8)&lt;TIMEVALUE('2-1.근무유형'!G8)+(TIMEVALUE('2-1.근무유형'!H8)-TIMEVALUE('2-1.근무유형'!G8)-'2-1.근무유형'!K8/1440)/2+'2-1.근무유형'!K8/1440),'2-1.근무유형'!K8/1440,0),"hh:mm")),"")</f>
        <v>13:00</v>
      </c>
      <c r="G9" s="19" t="str">
        <f t="shared" si="0"/>
        <v>13:00</v>
      </c>
      <c r="H9" s="19" t="str">
        <f>IF('2-1.근무유형'!H8="","",'2-1.근무유형'!H8)</f>
        <v>17:00</v>
      </c>
      <c r="I9" s="24"/>
    </row>
    <row r="10" spans="2:9" ht="18.75" customHeight="1">
      <c r="B10" s="19">
        <v>3</v>
      </c>
      <c r="C10" s="25" t="str">
        <f>IF(OR('2-1.근무유형'!E9="",LEFT('2-1.근무유형'!E9,1)="("),"",'2-1.근무유형'!E9)</f>
        <v>재택(09:00-18:00)</v>
      </c>
      <c r="D10" s="19" t="str">
        <f>IF(OR('2-1.근무유형'!G9="",'2-1.근무유형'!H9=""),"",'2-1.근무유형'!G9&amp;"-"&amp;'2-1.근무유형'!H9)</f>
        <v>09:00-18:00</v>
      </c>
      <c r="E10" s="19" t="str">
        <f>IF('2-1.근무유형'!G9="","",'2-1.근무유형'!G9)</f>
        <v>09:00</v>
      </c>
      <c r="F10" s="19" t="str">
        <f>IFERROR(IF(OR('2-1.근무유형'!G9="",'2-1.근무유형'!H9="",'2-1.근무유형'!K9="",TIMEVALUE('2-1.근무유형'!H9)&lt;=TIMEVALUE('2-1.근무유형'!G9)),"",TEXT(TIMEVALUE('2-1.근무유형'!G9)+(TIMEVALUE('2-1.근무유형'!H9)-TIMEVALUE('2-1.근무유형'!G9)-'2-1.근무유형'!K9/1440)/2+IF(AND('2-1.근무유형'!I9&lt;&gt;"",TIMEVALUE('2-1.근무유형'!I9)&gt;=TIMEVALUE('2-1.근무유형'!G9),TIMEVALUE('2-1.근무유형'!I9)&lt;TIMEVALUE('2-1.근무유형'!G9)+(TIMEVALUE('2-1.근무유형'!H9)-TIMEVALUE('2-1.근무유형'!G9)-'2-1.근무유형'!K9/1440)/2+'2-1.근무유형'!K9/1440),'2-1.근무유형'!K9/1440,0),"hh:mm")),"")</f>
        <v>14:00</v>
      </c>
      <c r="G10" s="19" t="str">
        <f t="shared" si="0"/>
        <v>14:00</v>
      </c>
      <c r="H10" s="19" t="str">
        <f>IF('2-1.근무유형'!H9="","",'2-1.근무유형'!H9)</f>
        <v>18:00</v>
      </c>
      <c r="I10" s="24"/>
    </row>
    <row r="11" spans="2:9" ht="18.75" customHeight="1">
      <c r="B11" s="19">
        <v>4</v>
      </c>
      <c r="C11" s="25" t="str">
        <f>IF(OR('2-1.근무유형'!E10="",LEFT('2-1.근무유형'!E10,1)="("),"",'2-1.근무유형'!E10)</f>
        <v>임신기단축(08:00-15:00)</v>
      </c>
      <c r="D11" s="19" t="str">
        <f>IF(OR('2-1.근무유형'!G10="",'2-1.근무유형'!H10=""),"",'2-1.근무유형'!G10&amp;"-"&amp;'2-1.근무유형'!H10)</f>
        <v>08:00-15:00</v>
      </c>
      <c r="E11" s="19" t="str">
        <f>IF('2-1.근무유형'!G10="","",'2-1.근무유형'!G10)</f>
        <v>08:00</v>
      </c>
      <c r="F11" s="19" t="str">
        <f>IFERROR(IF(OR('2-1.근무유형'!G10="",'2-1.근무유형'!H10="",'2-1.근무유형'!K10="",TIMEVALUE('2-1.근무유형'!H10)&lt;=TIMEVALUE('2-1.근무유형'!G10)),"",TEXT(TIMEVALUE('2-1.근무유형'!G10)+(TIMEVALUE('2-1.근무유형'!H10)-TIMEVALUE('2-1.근무유형'!G10)-'2-1.근무유형'!K10/1440)/2+IF(AND('2-1.근무유형'!I10&lt;&gt;"",TIMEVALUE('2-1.근무유형'!I10)&gt;=TIMEVALUE('2-1.근무유형'!G10),TIMEVALUE('2-1.근무유형'!I10)&lt;TIMEVALUE('2-1.근무유형'!G10)+(TIMEVALUE('2-1.근무유형'!H10)-TIMEVALUE('2-1.근무유형'!G10)-'2-1.근무유형'!K10/1440)/2+'2-1.근무유형'!K10/1440),'2-1.근무유형'!K10/1440,0),"hh:mm")),"")</f>
        <v>11:00</v>
      </c>
      <c r="G11" s="19" t="str">
        <f t="shared" si="0"/>
        <v>11:00</v>
      </c>
      <c r="H11" s="19" t="str">
        <f>IF('2-1.근무유형'!H10="","",'2-1.근무유형'!H10)</f>
        <v>15:00</v>
      </c>
      <c r="I11" s="24"/>
    </row>
    <row r="12" spans="2:9" ht="18.75" customHeight="1">
      <c r="B12" s="19">
        <v>5</v>
      </c>
      <c r="C12" s="25" t="str">
        <f>IF(OR('2-1.근무유형'!E11="",LEFT('2-1.근무유형'!E11,1)="("),"",'2-1.근무유형'!E11)</f>
        <v>임신기단축(09:00-16:00)</v>
      </c>
      <c r="D12" s="19" t="str">
        <f>IF(OR('2-1.근무유형'!G11="",'2-1.근무유형'!H11=""),"",'2-1.근무유형'!G11&amp;"-"&amp;'2-1.근무유형'!H11)</f>
        <v>09:00-16:00</v>
      </c>
      <c r="E12" s="19" t="str">
        <f>IF('2-1.근무유형'!G11="","",'2-1.근무유형'!G11)</f>
        <v>09:00</v>
      </c>
      <c r="F12" s="19" t="str">
        <f>IFERROR(IF(OR('2-1.근무유형'!G11="",'2-1.근무유형'!H11="",'2-1.근무유형'!K11="",TIMEVALUE('2-1.근무유형'!H11)&lt;=TIMEVALUE('2-1.근무유형'!G11)),"",TEXT(TIMEVALUE('2-1.근무유형'!G11)+(TIMEVALUE('2-1.근무유형'!H11)-TIMEVALUE('2-1.근무유형'!G11)-'2-1.근무유형'!K11/1440)/2+IF(AND('2-1.근무유형'!I11&lt;&gt;"",TIMEVALUE('2-1.근무유형'!I11)&gt;=TIMEVALUE('2-1.근무유형'!G11),TIMEVALUE('2-1.근무유형'!I11)&lt;TIMEVALUE('2-1.근무유형'!G11)+(TIMEVALUE('2-1.근무유형'!H11)-TIMEVALUE('2-1.근무유형'!G11)-'2-1.근무유형'!K11/1440)/2+'2-1.근무유형'!K11/1440),'2-1.근무유형'!K11/1440,0),"hh:mm")),"")</f>
        <v>13:00</v>
      </c>
      <c r="G12" s="19" t="str">
        <f t="shared" si="0"/>
        <v>13:00</v>
      </c>
      <c r="H12" s="19" t="str">
        <f>IF('2-1.근무유형'!H11="","",'2-1.근무유형'!H11)</f>
        <v>16:00</v>
      </c>
      <c r="I12" s="24"/>
    </row>
    <row r="13" spans="2:9" ht="18.75" customHeight="1">
      <c r="B13" s="19">
        <v>6</v>
      </c>
      <c r="C13" s="25" t="str">
        <f>IF(OR('2-1.근무유형'!E12="",LEFT('2-1.근무유형'!E12,1)="("),"",'2-1.근무유형'!E12)</f>
        <v>임신기단축(10:00-17:00)</v>
      </c>
      <c r="D13" s="19" t="str">
        <f>IF(OR('2-1.근무유형'!G12="",'2-1.근무유형'!H12=""),"",'2-1.근무유형'!G12&amp;"-"&amp;'2-1.근무유형'!H12)</f>
        <v>10:00-17:00</v>
      </c>
      <c r="E13" s="19" t="str">
        <f>IF('2-1.근무유형'!G12="","",'2-1.근무유형'!G12)</f>
        <v>10:00</v>
      </c>
      <c r="F13" s="19" t="str">
        <f>IFERROR(IF(OR('2-1.근무유형'!G12="",'2-1.근무유형'!H12="",'2-1.근무유형'!K12="",TIMEVALUE('2-1.근무유형'!H12)&lt;=TIMEVALUE('2-1.근무유형'!G12)),"",TEXT(TIMEVALUE('2-1.근무유형'!G12)+(TIMEVALUE('2-1.근무유형'!H12)-TIMEVALUE('2-1.근무유형'!G12)-'2-1.근무유형'!K12/1440)/2+IF(AND('2-1.근무유형'!I12&lt;&gt;"",TIMEVALUE('2-1.근무유형'!I12)&gt;=TIMEVALUE('2-1.근무유형'!G12),TIMEVALUE('2-1.근무유형'!I12)&lt;TIMEVALUE('2-1.근무유형'!G12)+(TIMEVALUE('2-1.근무유형'!H12)-TIMEVALUE('2-1.근무유형'!G12)-'2-1.근무유형'!K12/1440)/2+'2-1.근무유형'!K12/1440),'2-1.근무유형'!K12/1440,0),"hh:mm")),"")</f>
        <v>14:00</v>
      </c>
      <c r="G13" s="19" t="str">
        <f t="shared" si="0"/>
        <v>14:00</v>
      </c>
      <c r="H13" s="19" t="str">
        <f>IF('2-1.근무유형'!H12="","",'2-1.근무유형'!H12)</f>
        <v>17:00</v>
      </c>
      <c r="I13" s="24"/>
    </row>
    <row r="14" spans="2:9" ht="18.75" customHeight="1">
      <c r="B14" s="19">
        <v>7</v>
      </c>
      <c r="C14" s="25" t="str">
        <f>IF(OR('2-1.근무유형'!E13="",LEFT('2-1.근무유형'!E13,1)="("),"",'2-1.근무유형'!E13)</f>
        <v>임신기단축(11:00-18:00)</v>
      </c>
      <c r="D14" s="19" t="str">
        <f>IF(OR('2-1.근무유형'!G13="",'2-1.근무유형'!H13=""),"",'2-1.근무유형'!G13&amp;"-"&amp;'2-1.근무유형'!H13)</f>
        <v>11:00-18:00</v>
      </c>
      <c r="E14" s="19" t="str">
        <f>IF('2-1.근무유형'!G13="","",'2-1.근무유형'!G13)</f>
        <v>11:00</v>
      </c>
      <c r="F14" s="19" t="str">
        <f>IFERROR(IF(OR('2-1.근무유형'!G13="",'2-1.근무유형'!H13="",'2-1.근무유형'!K13="",TIMEVALUE('2-1.근무유형'!H13)&lt;=TIMEVALUE('2-1.근무유형'!G13)),"",TEXT(TIMEVALUE('2-1.근무유형'!G13)+(TIMEVALUE('2-1.근무유형'!H13)-TIMEVALUE('2-1.근무유형'!G13)-'2-1.근무유형'!K13/1440)/2+IF(AND('2-1.근무유형'!I13&lt;&gt;"",TIMEVALUE('2-1.근무유형'!I13)&gt;=TIMEVALUE('2-1.근무유형'!G13),TIMEVALUE('2-1.근무유형'!I13)&lt;TIMEVALUE('2-1.근무유형'!G13)+(TIMEVALUE('2-1.근무유형'!H13)-TIMEVALUE('2-1.근무유형'!G13)-'2-1.근무유형'!K13/1440)/2+'2-1.근무유형'!K13/1440),'2-1.근무유형'!K13/1440,0),"hh:mm")),"")</f>
        <v>15:00</v>
      </c>
      <c r="G14" s="19" t="str">
        <f t="shared" si="0"/>
        <v>15:00</v>
      </c>
      <c r="H14" s="19" t="str">
        <f>IF('2-1.근무유형'!H13="","",'2-1.근무유형'!H13)</f>
        <v>18:00</v>
      </c>
      <c r="I14" s="24"/>
    </row>
    <row r="15" spans="2:9" ht="18.75" customHeight="1">
      <c r="B15" s="19">
        <v>8</v>
      </c>
      <c r="C15" s="25" t="str">
        <f>IF(OR('2-1.근무유형'!E14="",LEFT('2-1.근무유형'!E14,1)="("),"",'2-1.근무유형'!E14)</f>
        <v>육아기단축(09:00-17:00)</v>
      </c>
      <c r="D15" s="19" t="str">
        <f>IF(OR('2-1.근무유형'!G14="",'2-1.근무유형'!H14=""),"",'2-1.근무유형'!G14&amp;"-"&amp;'2-1.근무유형'!H14)</f>
        <v>09:00-17:00</v>
      </c>
      <c r="E15" s="19" t="str">
        <f>IF('2-1.근무유형'!G14="","",'2-1.근무유형'!G14)</f>
        <v>09:00</v>
      </c>
      <c r="F15" s="19" t="str">
        <f>IFERROR(IF(OR('2-1.근무유형'!G14="",'2-1.근무유형'!H14="",'2-1.근무유형'!K14="",TIMEVALUE('2-1.근무유형'!H14)&lt;=TIMEVALUE('2-1.근무유형'!G14)),"",TEXT(TIMEVALUE('2-1.근무유형'!G14)+(TIMEVALUE('2-1.근무유형'!H14)-TIMEVALUE('2-1.근무유형'!G14)-'2-1.근무유형'!K14/1440)/2+IF(AND('2-1.근무유형'!I14&lt;&gt;"",TIMEVALUE('2-1.근무유형'!I14)&gt;=TIMEVALUE('2-1.근무유형'!G14),TIMEVALUE('2-1.근무유형'!I14)&lt;TIMEVALUE('2-1.근무유형'!G14)+(TIMEVALUE('2-1.근무유형'!H14)-TIMEVALUE('2-1.근무유형'!G14)-'2-1.근무유형'!K14/1440)/2+'2-1.근무유형'!K14/1440),'2-1.근무유형'!K14/1440,0),"hh:mm")),"")</f>
        <v>13:30</v>
      </c>
      <c r="G15" s="19" t="str">
        <f t="shared" si="0"/>
        <v>13:30</v>
      </c>
      <c r="H15" s="19" t="str">
        <f>IF('2-1.근무유형'!H14="","",'2-1.근무유형'!H14)</f>
        <v>17:00</v>
      </c>
      <c r="I15" s="24"/>
    </row>
    <row r="16" spans="2:9" ht="18.75" customHeight="1">
      <c r="B16" s="19">
        <v>9</v>
      </c>
      <c r="C16" s="25" t="str">
        <f>IF(OR('2-1.근무유형'!E15="",LEFT('2-1.근무유형'!E15,1)="("),"",'2-1.근무유형'!E15)</f>
        <v>육아기단축(09:00-16:00)</v>
      </c>
      <c r="D16" s="19" t="str">
        <f>IF(OR('2-1.근무유형'!G15="",'2-1.근무유형'!H15=""),"",'2-1.근무유형'!G15&amp;"-"&amp;'2-1.근무유형'!H15)</f>
        <v>09:00-16:00</v>
      </c>
      <c r="E16" s="19" t="str">
        <f>IF('2-1.근무유형'!G15="","",'2-1.근무유형'!G15)</f>
        <v>09:00</v>
      </c>
      <c r="F16" s="19" t="str">
        <f>IFERROR(IF(OR('2-1.근무유형'!G15="",'2-1.근무유형'!H15="",'2-1.근무유형'!K15="",TIMEVALUE('2-1.근무유형'!H15)&lt;=TIMEVALUE('2-1.근무유형'!G15)),"",TEXT(TIMEVALUE('2-1.근무유형'!G15)+(TIMEVALUE('2-1.근무유형'!H15)-TIMEVALUE('2-1.근무유형'!G15)-'2-1.근무유형'!K15/1440)/2+IF(AND('2-1.근무유형'!I15&lt;&gt;"",TIMEVALUE('2-1.근무유형'!I15)&gt;=TIMEVALUE('2-1.근무유형'!G15),TIMEVALUE('2-1.근무유형'!I15)&lt;TIMEVALUE('2-1.근무유형'!G15)+(TIMEVALUE('2-1.근무유형'!H15)-TIMEVALUE('2-1.근무유형'!G15)-'2-1.근무유형'!K15/1440)/2+'2-1.근무유형'!K15/1440),'2-1.근무유형'!K15/1440,0),"hh:mm")),"")</f>
        <v>13:00</v>
      </c>
      <c r="G16" s="19" t="str">
        <f t="shared" si="0"/>
        <v>13:00</v>
      </c>
      <c r="H16" s="19" t="str">
        <f>IF('2-1.근무유형'!H15="","",'2-1.근무유형'!H15)</f>
        <v>16:00</v>
      </c>
      <c r="I16" s="24"/>
    </row>
    <row r="17" spans="2:9" ht="18.75" customHeight="1">
      <c r="B17" s="19">
        <v>10</v>
      </c>
      <c r="C17" s="25" t="str">
        <f>IF(OR('2-1.근무유형'!E16="",LEFT('2-1.근무유형'!E16,1)="("),"",'2-1.근무유형'!E16)</f>
        <v>육아기단축(09:00-15:00)</v>
      </c>
      <c r="D17" s="19" t="str">
        <f>IF(OR('2-1.근무유형'!G16="",'2-1.근무유형'!H16=""),"",'2-1.근무유형'!G16&amp;"-"&amp;'2-1.근무유형'!H16)</f>
        <v>09:00-15:00</v>
      </c>
      <c r="E17" s="19" t="str">
        <f>IF('2-1.근무유형'!G16="","",'2-1.근무유형'!G16)</f>
        <v>09:00</v>
      </c>
      <c r="F17" s="19" t="str">
        <f>IFERROR(IF(OR('2-1.근무유형'!G16="",'2-1.근무유형'!H16="",'2-1.근무유형'!K16="",TIMEVALUE('2-1.근무유형'!H16)&lt;=TIMEVALUE('2-1.근무유형'!G16)),"",TEXT(TIMEVALUE('2-1.근무유형'!G16)+(TIMEVALUE('2-1.근무유형'!H16)-TIMEVALUE('2-1.근무유형'!G16)-'2-1.근무유형'!K16/1440)/2+IF(AND('2-1.근무유형'!I16&lt;&gt;"",TIMEVALUE('2-1.근무유형'!I16)&gt;=TIMEVALUE('2-1.근무유형'!G16),TIMEVALUE('2-1.근무유형'!I16)&lt;TIMEVALUE('2-1.근무유형'!G16)+(TIMEVALUE('2-1.근무유형'!H16)-TIMEVALUE('2-1.근무유형'!G16)-'2-1.근무유형'!K16/1440)/2+'2-1.근무유형'!K16/1440),'2-1.근무유형'!K16/1440,0),"hh:mm")),"")</f>
        <v>12:30</v>
      </c>
      <c r="G17" s="19" t="str">
        <f t="shared" si="0"/>
        <v>12:30</v>
      </c>
      <c r="H17" s="19" t="str">
        <f>IF('2-1.근무유형'!H16="","",'2-1.근무유형'!H16)</f>
        <v>15:00</v>
      </c>
      <c r="I17" s="24"/>
    </row>
    <row r="18" spans="2:9" ht="18.75" customHeight="1">
      <c r="B18" s="19">
        <v>11</v>
      </c>
      <c r="C18" s="25" t="str">
        <f>IF(OR('2-1.근무유형'!E17="",LEFT('2-1.근무유형'!E17,1)="("),"",'2-1.근무유형'!E17)</f>
        <v>A(06:00-15:00)</v>
      </c>
      <c r="D18" s="19" t="str">
        <f>IF(OR('2-1.근무유형'!G17="",'2-1.근무유형'!H17=""),"",'2-1.근무유형'!G17&amp;"-"&amp;'2-1.근무유형'!H17)</f>
        <v>06:00-15:00</v>
      </c>
      <c r="E18" s="19" t="str">
        <f>IF('2-1.근무유형'!G17="","",'2-1.근무유형'!G17)</f>
        <v>06:00</v>
      </c>
      <c r="F18" s="19" t="str">
        <f>IFERROR(IF(OR('2-1.근무유형'!G17="",'2-1.근무유형'!H17="",'2-1.근무유형'!K17="",TIMEVALUE('2-1.근무유형'!H17)&lt;=TIMEVALUE('2-1.근무유형'!G17)),"",TEXT(TIMEVALUE('2-1.근무유형'!G17)+(TIMEVALUE('2-1.근무유형'!H17)-TIMEVALUE('2-1.근무유형'!G17)-'2-1.근무유형'!K17/1440)/2+IF(AND('2-1.근무유형'!I17&lt;&gt;"",TIMEVALUE('2-1.근무유형'!I17)&gt;=TIMEVALUE('2-1.근무유형'!G17),TIMEVALUE('2-1.근무유형'!I17)&lt;TIMEVALUE('2-1.근무유형'!G17)+(TIMEVALUE('2-1.근무유형'!H17)-TIMEVALUE('2-1.근무유형'!G17)-'2-1.근무유형'!K17/1440)/2+'2-1.근무유형'!K17/1440),'2-1.근무유형'!K17/1440,0),"hh:mm")),"")</f>
        <v/>
      </c>
      <c r="G18" s="19" t="str">
        <f t="shared" si="0"/>
        <v/>
      </c>
      <c r="H18" s="19" t="str">
        <f>IF('2-1.근무유형'!H17="","",'2-1.근무유형'!H17)</f>
        <v>15:00</v>
      </c>
      <c r="I18" s="24"/>
    </row>
    <row r="19" spans="2:9" ht="18.75" customHeight="1">
      <c r="B19" s="19">
        <v>12</v>
      </c>
      <c r="C19" s="25" t="str">
        <f>IF(OR('2-1.근무유형'!E18="",LEFT('2-1.근무유형'!E18,1)="("),"",'2-1.근무유형'!E18)</f>
        <v>B(07:00-16:00)</v>
      </c>
      <c r="D19" s="19" t="str">
        <f>IF(OR('2-1.근무유형'!G18="",'2-1.근무유형'!H18=""),"",'2-1.근무유형'!G18&amp;"-"&amp;'2-1.근무유형'!H18)</f>
        <v>07:00-16:00</v>
      </c>
      <c r="E19" s="19" t="str">
        <f>IF('2-1.근무유형'!G18="","",'2-1.근무유형'!G18)</f>
        <v>07:00</v>
      </c>
      <c r="F19" s="19" t="str">
        <f>IFERROR(IF(OR('2-1.근무유형'!G18="",'2-1.근무유형'!H18="",'2-1.근무유형'!K18="",TIMEVALUE('2-1.근무유형'!H18)&lt;=TIMEVALUE('2-1.근무유형'!G18)),"",TEXT(TIMEVALUE('2-1.근무유형'!G18)+(TIMEVALUE('2-1.근무유형'!H18)-TIMEVALUE('2-1.근무유형'!G18)-'2-1.근무유형'!K18/1440)/2+IF(AND('2-1.근무유형'!I18&lt;&gt;"",TIMEVALUE('2-1.근무유형'!I18)&gt;=TIMEVALUE('2-1.근무유형'!G18),TIMEVALUE('2-1.근무유형'!I18)&lt;TIMEVALUE('2-1.근무유형'!G18)+(TIMEVALUE('2-1.근무유형'!H18)-TIMEVALUE('2-1.근무유형'!G18)-'2-1.근무유형'!K18/1440)/2+'2-1.근무유형'!K18/1440),'2-1.근무유형'!K18/1440,0),"hh:mm")),"")</f>
        <v/>
      </c>
      <c r="G19" s="19" t="str">
        <f t="shared" si="0"/>
        <v/>
      </c>
      <c r="H19" s="19" t="str">
        <f>IF('2-1.근무유형'!H18="","",'2-1.근무유형'!H18)</f>
        <v>16:00</v>
      </c>
      <c r="I19" s="24"/>
    </row>
    <row r="20" spans="2:9" ht="18.75" customHeight="1">
      <c r="B20" s="19">
        <v>13</v>
      </c>
      <c r="C20" s="25" t="str">
        <f>IF(OR('2-1.근무유형'!E19="",LEFT('2-1.근무유형'!E19,1)="("),"",'2-1.근무유형'!E19)</f>
        <v>B1(07:30-16:30)</v>
      </c>
      <c r="D20" s="19" t="str">
        <f>IF(OR('2-1.근무유형'!G19="",'2-1.근무유형'!H19=""),"",'2-1.근무유형'!G19&amp;"-"&amp;'2-1.근무유형'!H19)</f>
        <v>07:30-16:30</v>
      </c>
      <c r="E20" s="19" t="str">
        <f>IF('2-1.근무유형'!G19="","",'2-1.근무유형'!G19)</f>
        <v>07:30</v>
      </c>
      <c r="F20" s="19" t="str">
        <f>IFERROR(IF(OR('2-1.근무유형'!G19="",'2-1.근무유형'!H19="",'2-1.근무유형'!K19="",TIMEVALUE('2-1.근무유형'!H19)&lt;=TIMEVALUE('2-1.근무유형'!G19)),"",TEXT(TIMEVALUE('2-1.근무유형'!G19)+(TIMEVALUE('2-1.근무유형'!H19)-TIMEVALUE('2-1.근무유형'!G19)-'2-1.근무유형'!K19/1440)/2+IF(AND('2-1.근무유형'!I19&lt;&gt;"",TIMEVALUE('2-1.근무유형'!I19)&gt;=TIMEVALUE('2-1.근무유형'!G19),TIMEVALUE('2-1.근무유형'!I19)&lt;TIMEVALUE('2-1.근무유형'!G19)+(TIMEVALUE('2-1.근무유형'!H19)-TIMEVALUE('2-1.근무유형'!G19)-'2-1.근무유형'!K19/1440)/2+'2-1.근무유형'!K19/1440),'2-1.근무유형'!K19/1440,0),"hh:mm")),"")</f>
        <v/>
      </c>
      <c r="G20" s="19" t="str">
        <f t="shared" si="0"/>
        <v/>
      </c>
      <c r="H20" s="19" t="str">
        <f>IF('2-1.근무유형'!H19="","",'2-1.근무유형'!H19)</f>
        <v>16:30</v>
      </c>
      <c r="I20" s="24"/>
    </row>
    <row r="21" spans="2:9" ht="18.75" customHeight="1">
      <c r="B21" s="19">
        <v>14</v>
      </c>
      <c r="C21" s="25" t="str">
        <f>IF(OR('2-1.근무유형'!E20="",LEFT('2-1.근무유형'!E20,1)="("),"",'2-1.근무유형'!E20)</f>
        <v>C(08:00-17:00)</v>
      </c>
      <c r="D21" s="19" t="str">
        <f>IF(OR('2-1.근무유형'!G20="",'2-1.근무유형'!H20=""),"",'2-1.근무유형'!G20&amp;"-"&amp;'2-1.근무유형'!H20)</f>
        <v>08:00-17:00</v>
      </c>
      <c r="E21" s="19" t="str">
        <f>IF('2-1.근무유형'!G20="","",'2-1.근무유형'!G20)</f>
        <v>08:00</v>
      </c>
      <c r="F21" s="19" t="str">
        <f>IFERROR(IF(OR('2-1.근무유형'!G20="",'2-1.근무유형'!H20="",'2-1.근무유형'!K20="",TIMEVALUE('2-1.근무유형'!H20)&lt;=TIMEVALUE('2-1.근무유형'!G20)),"",TEXT(TIMEVALUE('2-1.근무유형'!G20)+(TIMEVALUE('2-1.근무유형'!H20)-TIMEVALUE('2-1.근무유형'!G20)-'2-1.근무유형'!K20/1440)/2+IF(AND('2-1.근무유형'!I20&lt;&gt;"",TIMEVALUE('2-1.근무유형'!I20)&gt;=TIMEVALUE('2-1.근무유형'!G20),TIMEVALUE('2-1.근무유형'!I20)&lt;TIMEVALUE('2-1.근무유형'!G20)+(TIMEVALUE('2-1.근무유형'!H20)-TIMEVALUE('2-1.근무유형'!G20)-'2-1.근무유형'!K20/1440)/2+'2-1.근무유형'!K20/1440),'2-1.근무유형'!K20/1440,0),"hh:mm")),"")</f>
        <v/>
      </c>
      <c r="G21" s="19" t="str">
        <f t="shared" si="0"/>
        <v/>
      </c>
      <c r="H21" s="19" t="str">
        <f>IF('2-1.근무유형'!H20="","",'2-1.근무유형'!H20)</f>
        <v>17:00</v>
      </c>
      <c r="I21" s="24"/>
    </row>
    <row r="22" spans="2:9" ht="18.75" customHeight="1">
      <c r="B22" s="19">
        <v>15</v>
      </c>
      <c r="C22" s="25" t="str">
        <f>IF(OR('2-1.근무유형'!E21="",LEFT('2-1.근무유형'!E21,1)="("),"",'2-1.근무유형'!E21)</f>
        <v>C1(08:30-17:30)</v>
      </c>
      <c r="D22" s="19" t="str">
        <f>IF(OR('2-1.근무유형'!G21="",'2-1.근무유형'!H21=""),"",'2-1.근무유형'!G21&amp;"-"&amp;'2-1.근무유형'!H21)</f>
        <v>08:30-17:30</v>
      </c>
      <c r="E22" s="19" t="str">
        <f>IF('2-1.근무유형'!G21="","",'2-1.근무유형'!G21)</f>
        <v>08:30</v>
      </c>
      <c r="F22" s="19" t="str">
        <f>IFERROR(IF(OR('2-1.근무유형'!G21="",'2-1.근무유형'!H21="",'2-1.근무유형'!K21="",TIMEVALUE('2-1.근무유형'!H21)&lt;=TIMEVALUE('2-1.근무유형'!G21)),"",TEXT(TIMEVALUE('2-1.근무유형'!G21)+(TIMEVALUE('2-1.근무유형'!H21)-TIMEVALUE('2-1.근무유형'!G21)-'2-1.근무유형'!K21/1440)/2+IF(AND('2-1.근무유형'!I21&lt;&gt;"",TIMEVALUE('2-1.근무유형'!I21)&gt;=TIMEVALUE('2-1.근무유형'!G21),TIMEVALUE('2-1.근무유형'!I21)&lt;TIMEVALUE('2-1.근무유형'!G21)+(TIMEVALUE('2-1.근무유형'!H21)-TIMEVALUE('2-1.근무유형'!G21)-'2-1.근무유형'!K21/1440)/2+'2-1.근무유형'!K21/1440),'2-1.근무유형'!K21/1440,0),"hh:mm")),"")</f>
        <v/>
      </c>
      <c r="G22" s="19" t="str">
        <f t="shared" si="0"/>
        <v/>
      </c>
      <c r="H22" s="19" t="str">
        <f>IF('2-1.근무유형'!H21="","",'2-1.근무유형'!H21)</f>
        <v>17:30</v>
      </c>
      <c r="I22" s="24"/>
    </row>
    <row r="23" spans="2:9" ht="18.75" customHeight="1">
      <c r="B23" s="19">
        <v>16</v>
      </c>
      <c r="C23" s="25" t="str">
        <f>IF(OR('2-1.근무유형'!E22="",LEFT('2-1.근무유형'!E22,1)="("),"",'2-1.근무유형'!E22)</f>
        <v>D(09:00-18:00)</v>
      </c>
      <c r="D23" s="19" t="str">
        <f>IF(OR('2-1.근무유형'!G22="",'2-1.근무유형'!H22=""),"",'2-1.근무유형'!G22&amp;"-"&amp;'2-1.근무유형'!H22)</f>
        <v>09:00-18:00</v>
      </c>
      <c r="E23" s="19" t="str">
        <f>IF('2-1.근무유형'!G22="","",'2-1.근무유형'!G22)</f>
        <v>09:00</v>
      </c>
      <c r="F23" s="19" t="str">
        <f>IFERROR(IF(OR('2-1.근무유형'!G22="",'2-1.근무유형'!H22="",'2-1.근무유형'!K22="",TIMEVALUE('2-1.근무유형'!H22)&lt;=TIMEVALUE('2-1.근무유형'!G22)),"",TEXT(TIMEVALUE('2-1.근무유형'!G22)+(TIMEVALUE('2-1.근무유형'!H22)-TIMEVALUE('2-1.근무유형'!G22)-'2-1.근무유형'!K22/1440)/2+IF(AND('2-1.근무유형'!I22&lt;&gt;"",TIMEVALUE('2-1.근무유형'!I22)&gt;=TIMEVALUE('2-1.근무유형'!G22),TIMEVALUE('2-1.근무유형'!I22)&lt;TIMEVALUE('2-1.근무유형'!G22)+(TIMEVALUE('2-1.근무유형'!H22)-TIMEVALUE('2-1.근무유형'!G22)-'2-1.근무유형'!K22/1440)/2+'2-1.근무유형'!K22/1440),'2-1.근무유형'!K22/1440,0),"hh:mm")),"")</f>
        <v/>
      </c>
      <c r="G23" s="19" t="str">
        <f t="shared" si="0"/>
        <v/>
      </c>
      <c r="H23" s="19" t="str">
        <f>IF('2-1.근무유형'!H22="","",'2-1.근무유형'!H22)</f>
        <v>18:00</v>
      </c>
      <c r="I23" s="24"/>
    </row>
    <row r="24" spans="2:9" ht="18.75" customHeight="1">
      <c r="B24" s="19">
        <v>17</v>
      </c>
      <c r="C24" s="25" t="str">
        <f>IF(OR('2-1.근무유형'!E23="",LEFT('2-1.근무유형'!E23,1)="("),"",'2-1.근무유형'!E23)</f>
        <v>E(10:00-19:00)</v>
      </c>
      <c r="D24" s="19" t="str">
        <f>IF(OR('2-1.근무유형'!G23="",'2-1.근무유형'!H23=""),"",'2-1.근무유형'!G23&amp;"-"&amp;'2-1.근무유형'!H23)</f>
        <v>10:00-19:00</v>
      </c>
      <c r="E24" s="19" t="str">
        <f>IF('2-1.근무유형'!G23="","",'2-1.근무유형'!G23)</f>
        <v>10:00</v>
      </c>
      <c r="F24" s="19" t="str">
        <f>IFERROR(IF(OR('2-1.근무유형'!G23="",'2-1.근무유형'!H23="",'2-1.근무유형'!K23="",TIMEVALUE('2-1.근무유형'!H23)&lt;=TIMEVALUE('2-1.근무유형'!G23)),"",TEXT(TIMEVALUE('2-1.근무유형'!G23)+(TIMEVALUE('2-1.근무유형'!H23)-TIMEVALUE('2-1.근무유형'!G23)-'2-1.근무유형'!K23/1440)/2+IF(AND('2-1.근무유형'!I23&lt;&gt;"",TIMEVALUE('2-1.근무유형'!I23)&gt;=TIMEVALUE('2-1.근무유형'!G23),TIMEVALUE('2-1.근무유형'!I23)&lt;TIMEVALUE('2-1.근무유형'!G23)+(TIMEVALUE('2-1.근무유형'!H23)-TIMEVALUE('2-1.근무유형'!G23)-'2-1.근무유형'!K23/1440)/2+'2-1.근무유형'!K23/1440),'2-1.근무유형'!K23/1440,0),"hh:mm")),"")</f>
        <v/>
      </c>
      <c r="G24" s="19" t="str">
        <f t="shared" si="0"/>
        <v/>
      </c>
      <c r="H24" s="19" t="str">
        <f>IF('2-1.근무유형'!H23="","",'2-1.근무유형'!H23)</f>
        <v>19:00</v>
      </c>
      <c r="I24" s="24"/>
    </row>
    <row r="25" spans="2:9" ht="18.75" customHeight="1">
      <c r="B25" s="19">
        <v>18</v>
      </c>
      <c r="C25" s="25" t="str">
        <f>IF(OR('2-1.근무유형'!E24="",LEFT('2-1.근무유형'!E24,1)="("),"",'2-1.근무유형'!E24)</f>
        <v>F(11:00-20:00)</v>
      </c>
      <c r="D25" s="19" t="str">
        <f>IF(OR('2-1.근무유형'!G24="",'2-1.근무유형'!H24=""),"",'2-1.근무유형'!G24&amp;"-"&amp;'2-1.근무유형'!H24)</f>
        <v>11:00-20:00</v>
      </c>
      <c r="E25" s="19" t="str">
        <f>IF('2-1.근무유형'!G24="","",'2-1.근무유형'!G24)</f>
        <v>11:00</v>
      </c>
      <c r="F25" s="19" t="str">
        <f>IFERROR(IF(OR('2-1.근무유형'!G24="",'2-1.근무유형'!H24="",'2-1.근무유형'!K24="",TIMEVALUE('2-1.근무유형'!H24)&lt;=TIMEVALUE('2-1.근무유형'!G24)),"",TEXT(TIMEVALUE('2-1.근무유형'!G24)+(TIMEVALUE('2-1.근무유형'!H24)-TIMEVALUE('2-1.근무유형'!G24)-'2-1.근무유형'!K24/1440)/2+IF(AND('2-1.근무유형'!I24&lt;&gt;"",TIMEVALUE('2-1.근무유형'!I24)&gt;=TIMEVALUE('2-1.근무유형'!G24),TIMEVALUE('2-1.근무유형'!I24)&lt;TIMEVALUE('2-1.근무유형'!G24)+(TIMEVALUE('2-1.근무유형'!H24)-TIMEVALUE('2-1.근무유형'!G24)-'2-1.근무유형'!K24/1440)/2+'2-1.근무유형'!K24/1440),'2-1.근무유형'!K24/1440,0),"hh:mm")),"")</f>
        <v/>
      </c>
      <c r="G25" s="19" t="str">
        <f t="shared" si="0"/>
        <v/>
      </c>
      <c r="H25" s="19" t="str">
        <f>IF('2-1.근무유형'!H24="","",'2-1.근무유형'!H24)</f>
        <v>20:00</v>
      </c>
      <c r="I25" s="24"/>
    </row>
    <row r="26" spans="2:9" ht="18.75" customHeight="1">
      <c r="B26" s="19">
        <v>19</v>
      </c>
      <c r="C26" s="25" t="str">
        <f>IF(OR('2-1.근무유형'!E25="",LEFT('2-1.근무유형'!E25,1)="("),"",'2-1.근무유형'!E25)</f>
        <v>G(12:00-21:00)</v>
      </c>
      <c r="D26" s="19" t="str">
        <f>IF(OR('2-1.근무유형'!G25="",'2-1.근무유형'!H25=""),"",'2-1.근무유형'!G25&amp;"-"&amp;'2-1.근무유형'!H25)</f>
        <v>12:00-21:00</v>
      </c>
      <c r="E26" s="19" t="str">
        <f>IF('2-1.근무유형'!G25="","",'2-1.근무유형'!G25)</f>
        <v>12:00</v>
      </c>
      <c r="F26" s="19" t="str">
        <f>IFERROR(IF(OR('2-1.근무유형'!G25="",'2-1.근무유형'!H25="",'2-1.근무유형'!K25="",TIMEVALUE('2-1.근무유형'!H25)&lt;=TIMEVALUE('2-1.근무유형'!G25)),"",TEXT(TIMEVALUE('2-1.근무유형'!G25)+(TIMEVALUE('2-1.근무유형'!H25)-TIMEVALUE('2-1.근무유형'!G25)-'2-1.근무유형'!K25/1440)/2+IF(AND('2-1.근무유형'!I25&lt;&gt;"",TIMEVALUE('2-1.근무유형'!I25)&gt;=TIMEVALUE('2-1.근무유형'!G25),TIMEVALUE('2-1.근무유형'!I25)&lt;TIMEVALUE('2-1.근무유형'!G25)+(TIMEVALUE('2-1.근무유형'!H25)-TIMEVALUE('2-1.근무유형'!G25)-'2-1.근무유형'!K25/1440)/2+'2-1.근무유형'!K25/1440),'2-1.근무유형'!K25/1440,0),"hh:mm")),"")</f>
        <v/>
      </c>
      <c r="G26" s="19" t="str">
        <f t="shared" si="0"/>
        <v/>
      </c>
      <c r="H26" s="19" t="str">
        <f>IF('2-1.근무유형'!H25="","",'2-1.근무유형'!H25)</f>
        <v>21:00</v>
      </c>
      <c r="I26" s="24"/>
    </row>
    <row r="27" spans="2:9" ht="18.75" customHeight="1">
      <c r="B27" s="19">
        <v>20</v>
      </c>
      <c r="C27" s="25" t="str">
        <f>IF(OR('2-1.근무유형'!E26="",LEFT('2-1.근무유형'!E26,1)="("),"",'2-1.근무유형'!E26)</f>
        <v>H(13:00-22:00)</v>
      </c>
      <c r="D27" s="19" t="str">
        <f>IF(OR('2-1.근무유형'!G26="",'2-1.근무유형'!H26=""),"",'2-1.근무유형'!G26&amp;"-"&amp;'2-1.근무유형'!H26)</f>
        <v>13:00-22:00</v>
      </c>
      <c r="E27" s="19" t="str">
        <f>IF('2-1.근무유형'!G26="","",'2-1.근무유형'!G26)</f>
        <v>13:00</v>
      </c>
      <c r="F27" s="19" t="str">
        <f>IFERROR(IF(OR('2-1.근무유형'!G26="",'2-1.근무유형'!H26="",'2-1.근무유형'!K26="",TIMEVALUE('2-1.근무유형'!H26)&lt;=TIMEVALUE('2-1.근무유형'!G26)),"",TEXT(TIMEVALUE('2-1.근무유형'!G26)+(TIMEVALUE('2-1.근무유형'!H26)-TIMEVALUE('2-1.근무유형'!G26)-'2-1.근무유형'!K26/1440)/2+IF(AND('2-1.근무유형'!I26&lt;&gt;"",TIMEVALUE('2-1.근무유형'!I26)&gt;=TIMEVALUE('2-1.근무유형'!G26),TIMEVALUE('2-1.근무유형'!I26)&lt;TIMEVALUE('2-1.근무유형'!G26)+(TIMEVALUE('2-1.근무유형'!H26)-TIMEVALUE('2-1.근무유형'!G26)-'2-1.근무유형'!K26/1440)/2+'2-1.근무유형'!K26/1440),'2-1.근무유형'!K26/1440,0),"hh:mm")),"")</f>
        <v/>
      </c>
      <c r="G27" s="19" t="str">
        <f t="shared" si="0"/>
        <v/>
      </c>
      <c r="H27" s="19" t="str">
        <f>IF('2-1.근무유형'!H26="","",'2-1.근무유형'!H26)</f>
        <v>22:00</v>
      </c>
      <c r="I27" s="24"/>
    </row>
    <row r="28" spans="2:9" ht="18.75" customHeight="1">
      <c r="B28" s="19">
        <v>21</v>
      </c>
      <c r="C28" s="25" t="str">
        <f>IF(OR('2-1.근무유형'!E27="",LEFT('2-1.근무유형'!E27,1)="("),"",'2-1.근무유형'!E27)</f>
        <v>I(13:00-22:00)</v>
      </c>
      <c r="D28" s="19" t="str">
        <f>IF(OR('2-1.근무유형'!G27="",'2-1.근무유형'!H27=""),"",'2-1.근무유형'!G27&amp;"-"&amp;'2-1.근무유형'!H27)</f>
        <v>13:00-22:00</v>
      </c>
      <c r="E28" s="19" t="str">
        <f>IF('2-1.근무유형'!G27="","",'2-1.근무유형'!G27)</f>
        <v>13:00</v>
      </c>
      <c r="F28" s="19" t="str">
        <f>IFERROR(IF(OR('2-1.근무유형'!G27="",'2-1.근무유형'!H27="",'2-1.근무유형'!K27="",TIMEVALUE('2-1.근무유형'!H27)&lt;=TIMEVALUE('2-1.근무유형'!G27)),"",TEXT(TIMEVALUE('2-1.근무유형'!G27)+(TIMEVALUE('2-1.근무유형'!H27)-TIMEVALUE('2-1.근무유형'!G27)-'2-1.근무유형'!K27/1440)/2+IF(AND('2-1.근무유형'!I27&lt;&gt;"",TIMEVALUE('2-1.근무유형'!I27)&gt;=TIMEVALUE('2-1.근무유형'!G27),TIMEVALUE('2-1.근무유형'!I27)&lt;TIMEVALUE('2-1.근무유형'!G27)+(TIMEVALUE('2-1.근무유형'!H27)-TIMEVALUE('2-1.근무유형'!G27)-'2-1.근무유형'!K27/1440)/2+'2-1.근무유형'!K27/1440),'2-1.근무유형'!K27/1440,0),"hh:mm")),"")</f>
        <v/>
      </c>
      <c r="G28" s="19" t="str">
        <f t="shared" si="0"/>
        <v/>
      </c>
      <c r="H28" s="19" t="str">
        <f>IF('2-1.근무유형'!H27="","",'2-1.근무유형'!H27)</f>
        <v>22:00</v>
      </c>
      <c r="I28" s="24"/>
    </row>
    <row r="29" spans="2:9" ht="18.75" customHeight="1">
      <c r="B29" s="19">
        <v>22</v>
      </c>
      <c r="C29" s="25" t="str">
        <f>IF(OR('2-1.근무유형'!E28="",LEFT('2-1.근무유형'!E28,1)="("),"",'2-1.근무유형'!E28)</f>
        <v>I(14:00-23:00)</v>
      </c>
      <c r="D29" s="19" t="str">
        <f>IF(OR('2-1.근무유형'!G28="",'2-1.근무유형'!H28=""),"",'2-1.근무유형'!G28&amp;"-"&amp;'2-1.근무유형'!H28)</f>
        <v>14:00-23:00</v>
      </c>
      <c r="E29" s="19" t="str">
        <f>IF('2-1.근무유형'!G28="","",'2-1.근무유형'!G28)</f>
        <v>14:00</v>
      </c>
      <c r="F29" s="19" t="str">
        <f>IFERROR(IF(OR('2-1.근무유형'!G28="",'2-1.근무유형'!H28="",'2-1.근무유형'!K28="",TIMEVALUE('2-1.근무유형'!H28)&lt;=TIMEVALUE('2-1.근무유형'!G28)),"",TEXT(TIMEVALUE('2-1.근무유형'!G28)+(TIMEVALUE('2-1.근무유형'!H28)-TIMEVALUE('2-1.근무유형'!G28)-'2-1.근무유형'!K28/1440)/2+IF(AND('2-1.근무유형'!I28&lt;&gt;"",TIMEVALUE('2-1.근무유형'!I28)&gt;=TIMEVALUE('2-1.근무유형'!G28),TIMEVALUE('2-1.근무유형'!I28)&lt;TIMEVALUE('2-1.근무유형'!G28)+(TIMEVALUE('2-1.근무유형'!H28)-TIMEVALUE('2-1.근무유형'!G28)-'2-1.근무유형'!K28/1440)/2+'2-1.근무유형'!K28/1440),'2-1.근무유형'!K28/1440,0),"hh:mm")),"")</f>
        <v/>
      </c>
      <c r="G29" s="19" t="str">
        <f t="shared" si="0"/>
        <v/>
      </c>
      <c r="H29" s="19" t="str">
        <f>IF('2-1.근무유형'!H28="","",'2-1.근무유형'!H28)</f>
        <v>23:00</v>
      </c>
      <c r="I29" s="24"/>
    </row>
    <row r="30" spans="2:9" ht="18.75" customHeight="1">
      <c r="B30" s="19">
        <v>23</v>
      </c>
      <c r="C30" s="25" t="str">
        <f>IF(OR('2-1.근무유형'!E29="",LEFT('2-1.근무유형'!E29,1)="("),"",'2-1.근무유형'!E29)</f>
        <v>R(23:00-익일08:00)</v>
      </c>
      <c r="D30" s="19" t="str">
        <f>IF(OR('2-1.근무유형'!G29="",'2-1.근무유형'!H29=""),"",'2-1.근무유형'!G29&amp;"-"&amp;'2-1.근무유형'!H29)</f>
        <v>23:00-08:00</v>
      </c>
      <c r="E30" s="19" t="str">
        <f>IF('2-1.근무유형'!G29="","",'2-1.근무유형'!G29)</f>
        <v>23:00</v>
      </c>
      <c r="F30" s="19" t="str">
        <f>IFERROR(IF(OR('2-1.근무유형'!G29="",'2-1.근무유형'!H29="",'2-1.근무유형'!K29="",TIMEVALUE('2-1.근무유형'!H29)&lt;=TIMEVALUE('2-1.근무유형'!G29)),"",TEXT(TIMEVALUE('2-1.근무유형'!G29)+(TIMEVALUE('2-1.근무유형'!H29)-TIMEVALUE('2-1.근무유형'!G29)-'2-1.근무유형'!K29/1440)/2+IF(AND('2-1.근무유형'!I29&lt;&gt;"",TIMEVALUE('2-1.근무유형'!I29)&gt;=TIMEVALUE('2-1.근무유형'!G29),TIMEVALUE('2-1.근무유형'!I29)&lt;TIMEVALUE('2-1.근무유형'!G29)+(TIMEVALUE('2-1.근무유형'!H29)-TIMEVALUE('2-1.근무유형'!G29)-'2-1.근무유형'!K29/1440)/2+'2-1.근무유형'!K29/1440),'2-1.근무유형'!K29/1440,0),"hh:mm")),"")</f>
        <v/>
      </c>
      <c r="G30" s="19" t="str">
        <f t="shared" si="0"/>
        <v/>
      </c>
      <c r="H30" s="19" t="str">
        <f>IF('2-1.근무유형'!H29="","",'2-1.근무유형'!H29)</f>
        <v>08:00</v>
      </c>
      <c r="I30" s="24"/>
    </row>
    <row r="31" spans="2:9" ht="18.75" customHeight="1">
      <c r="B31" s="19">
        <v>24</v>
      </c>
      <c r="C31" s="25" t="str">
        <f>IF(OR('2-1.근무유형'!E30="",LEFT('2-1.근무유형'!E30,1)="("),"",'2-1.근무유형'!E30)</f>
        <v>야(13:00-익일09:00)</v>
      </c>
      <c r="D31" s="19" t="str">
        <f>IF(OR('2-1.근무유형'!G30="",'2-1.근무유형'!H30=""),"",'2-1.근무유형'!G30&amp;"-"&amp;'2-1.근무유형'!H30)</f>
        <v>13:00-09:00</v>
      </c>
      <c r="E31" s="19" t="str">
        <f>IF('2-1.근무유형'!G30="","",'2-1.근무유형'!G30)</f>
        <v>13:00</v>
      </c>
      <c r="F31" s="19" t="str">
        <f>IFERROR(IF(OR('2-1.근무유형'!G30="",'2-1.근무유형'!H30="",'2-1.근무유형'!K30="",TIMEVALUE('2-1.근무유형'!H30)&lt;=TIMEVALUE('2-1.근무유형'!G30)),"",TEXT(TIMEVALUE('2-1.근무유형'!G30)+(TIMEVALUE('2-1.근무유형'!H30)-TIMEVALUE('2-1.근무유형'!G30)-'2-1.근무유형'!K30/1440)/2+IF(AND('2-1.근무유형'!I30&lt;&gt;"",TIMEVALUE('2-1.근무유형'!I30)&gt;=TIMEVALUE('2-1.근무유형'!G30),TIMEVALUE('2-1.근무유형'!I30)&lt;TIMEVALUE('2-1.근무유형'!G30)+(TIMEVALUE('2-1.근무유형'!H30)-TIMEVALUE('2-1.근무유형'!G30)-'2-1.근무유형'!K30/1440)/2+'2-1.근무유형'!K30/1440),'2-1.근무유형'!K30/1440,0),"hh:mm")),"")</f>
        <v/>
      </c>
      <c r="G31" s="19" t="str">
        <f t="shared" si="0"/>
        <v/>
      </c>
      <c r="H31" s="19" t="str">
        <f>IF('2-1.근무유형'!H30="","",'2-1.근무유형'!H30)</f>
        <v>09:00</v>
      </c>
      <c r="I31" s="24"/>
    </row>
    <row r="32" spans="2:9" ht="18.75" customHeight="1">
      <c r="B32" s="19">
        <v>25</v>
      </c>
      <c r="C32" s="25" t="str">
        <f>IF(OR('2-1.근무유형'!E31="",LEFT('2-1.근무유형'!E31,1)="("),"",'2-1.근무유형'!E31)</f>
        <v>비(비번)</v>
      </c>
      <c r="D32" s="19" t="str">
        <f>IF(OR('2-1.근무유형'!G31="",'2-1.근무유형'!H31=""),"",'2-1.근무유형'!G31&amp;"-"&amp;'2-1.근무유형'!H31)</f>
        <v/>
      </c>
      <c r="E32" s="19" t="str">
        <f>IF('2-1.근무유형'!G31="","",'2-1.근무유형'!G31)</f>
        <v/>
      </c>
      <c r="F32" s="19" t="str">
        <f>IFERROR(IF(OR('2-1.근무유형'!G31="",'2-1.근무유형'!H31="",'2-1.근무유형'!K31="",TIMEVALUE('2-1.근무유형'!H31)&lt;=TIMEVALUE('2-1.근무유형'!G31)),"",TEXT(TIMEVALUE('2-1.근무유형'!G31)+(TIMEVALUE('2-1.근무유형'!H31)-TIMEVALUE('2-1.근무유형'!G31)-'2-1.근무유형'!K31/1440)/2+IF(AND('2-1.근무유형'!I31&lt;&gt;"",TIMEVALUE('2-1.근무유형'!I31)&gt;=TIMEVALUE('2-1.근무유형'!G31),TIMEVALUE('2-1.근무유형'!I31)&lt;TIMEVALUE('2-1.근무유형'!G31)+(TIMEVALUE('2-1.근무유형'!H31)-TIMEVALUE('2-1.근무유형'!G31)-'2-1.근무유형'!K31/1440)/2+'2-1.근무유형'!K31/1440),'2-1.근무유형'!K31/1440,0),"hh:mm")),"")</f>
        <v/>
      </c>
      <c r="G32" s="19" t="str">
        <f t="shared" si="0"/>
        <v/>
      </c>
      <c r="H32" s="19" t="str">
        <f>IF('2-1.근무유형'!H31="","",'2-1.근무유형'!H31)</f>
        <v/>
      </c>
      <c r="I32" s="24"/>
    </row>
    <row r="33" spans="2:9" ht="18.75" customHeight="1">
      <c r="B33" s="19">
        <v>26</v>
      </c>
      <c r="C33" s="25" t="str">
        <f>IF(OR('2-1.근무유형'!E32="",LEFT('2-1.근무유형'!E32,1)="("),"",'2-1.근무유형'!E32)</f>
        <v>휴일</v>
      </c>
      <c r="D33" s="19" t="str">
        <f>IF(OR('2-1.근무유형'!G32="",'2-1.근무유형'!H32=""),"",'2-1.근무유형'!G32&amp;"-"&amp;'2-1.근무유형'!H32)</f>
        <v/>
      </c>
      <c r="E33" s="19" t="str">
        <f>IF('2-1.근무유형'!G32="","",'2-1.근무유형'!G32)</f>
        <v/>
      </c>
      <c r="F33" s="19" t="str">
        <f>IFERROR(IF(OR('2-1.근무유형'!G32="",'2-1.근무유형'!H32="",'2-1.근무유형'!K32="",TIMEVALUE('2-1.근무유형'!H32)&lt;=TIMEVALUE('2-1.근무유형'!G32)),"",TEXT(TIMEVALUE('2-1.근무유형'!G32)+(TIMEVALUE('2-1.근무유형'!H32)-TIMEVALUE('2-1.근무유형'!G32)-'2-1.근무유형'!K32/1440)/2+IF(AND('2-1.근무유형'!I32&lt;&gt;"",TIMEVALUE('2-1.근무유형'!I32)&gt;=TIMEVALUE('2-1.근무유형'!G32),TIMEVALUE('2-1.근무유형'!I32)&lt;TIMEVALUE('2-1.근무유형'!G32)+(TIMEVALUE('2-1.근무유형'!H32)-TIMEVALUE('2-1.근무유형'!G32)-'2-1.근무유형'!K32/1440)/2+'2-1.근무유형'!K32/1440),'2-1.근무유형'!K32/1440,0),"hh:mm")),"")</f>
        <v/>
      </c>
      <c r="G33" s="19" t="str">
        <f t="shared" si="0"/>
        <v/>
      </c>
      <c r="H33" s="19" t="str">
        <f>IF('2-1.근무유형'!H32="","",'2-1.근무유형'!H32)</f>
        <v/>
      </c>
      <c r="I33" s="24"/>
    </row>
    <row r="34" spans="2:9" ht="18.75" customHeight="1">
      <c r="B34" s="19">
        <v>27</v>
      </c>
      <c r="C34" s="25" t="str">
        <f>IF(OR('2-1.근무유형'!E33="",LEFT('2-1.근무유형'!E33,1)="("),"",'2-1.근무유형'!E33)</f>
        <v>휴무</v>
      </c>
      <c r="D34" s="19" t="str">
        <f>IF(OR('2-1.근무유형'!G33="",'2-1.근무유형'!H33=""),"",'2-1.근무유형'!G33&amp;"-"&amp;'2-1.근무유형'!H33)</f>
        <v/>
      </c>
      <c r="E34" s="19" t="str">
        <f>IF('2-1.근무유형'!G33="","",'2-1.근무유형'!G33)</f>
        <v/>
      </c>
      <c r="F34" s="19" t="str">
        <f>IFERROR(IF(OR('2-1.근무유형'!G33="",'2-1.근무유형'!H33="",'2-1.근무유형'!K33="",TIMEVALUE('2-1.근무유형'!H33)&lt;=TIMEVALUE('2-1.근무유형'!G33)),"",TEXT(TIMEVALUE('2-1.근무유형'!G33)+(TIMEVALUE('2-1.근무유형'!H33)-TIMEVALUE('2-1.근무유형'!G33)-'2-1.근무유형'!K33/1440)/2+IF(AND('2-1.근무유형'!I33&lt;&gt;"",TIMEVALUE('2-1.근무유형'!I33)&gt;=TIMEVALUE('2-1.근무유형'!G33),TIMEVALUE('2-1.근무유형'!I33)&lt;TIMEVALUE('2-1.근무유형'!G33)+(TIMEVALUE('2-1.근무유형'!H33)-TIMEVALUE('2-1.근무유형'!G33)-'2-1.근무유형'!K33/1440)/2+'2-1.근무유형'!K33/1440),'2-1.근무유형'!K33/1440,0),"hh:mm")),"")</f>
        <v/>
      </c>
      <c r="G34" s="19" t="str">
        <f t="shared" si="0"/>
        <v/>
      </c>
      <c r="H34" s="19" t="str">
        <f>IF('2-1.근무유형'!H33="","",'2-1.근무유형'!H33)</f>
        <v/>
      </c>
      <c r="I34" s="24"/>
    </row>
    <row r="35" spans="2:9" ht="18.75" customHeight="1">
      <c r="B35" s="19">
        <v>28</v>
      </c>
      <c r="C35" s="25" t="str">
        <f>IF(OR('2-1.근무유형'!E34="",LEFT('2-1.근무유형'!E34,1)="("),"",'2-1.근무유형'!E34)</f>
        <v/>
      </c>
      <c r="D35" s="19" t="str">
        <f>IF(OR('2-1.근무유형'!G34="",'2-1.근무유형'!H34=""),"",'2-1.근무유형'!G34&amp;"-"&amp;'2-1.근무유형'!H34)</f>
        <v/>
      </c>
      <c r="E35" s="19" t="str">
        <f>IF('2-1.근무유형'!G34="","",'2-1.근무유형'!G34)</f>
        <v/>
      </c>
      <c r="F35" s="19" t="str">
        <f>IFERROR(IF(OR('2-1.근무유형'!G34="",'2-1.근무유형'!H34="",'2-1.근무유형'!K34="",TIMEVALUE('2-1.근무유형'!H34)&lt;=TIMEVALUE('2-1.근무유형'!G34)),"",TEXT(TIMEVALUE('2-1.근무유형'!G34)+(TIMEVALUE('2-1.근무유형'!H34)-TIMEVALUE('2-1.근무유형'!G34)-'2-1.근무유형'!K34/1440)/2+IF(AND('2-1.근무유형'!I34&lt;&gt;"",TIMEVALUE('2-1.근무유형'!I34)&gt;=TIMEVALUE('2-1.근무유형'!G34),TIMEVALUE('2-1.근무유형'!I34)&lt;TIMEVALUE('2-1.근무유형'!G34)+(TIMEVALUE('2-1.근무유형'!H34)-TIMEVALUE('2-1.근무유형'!G34)-'2-1.근무유형'!K34/1440)/2+'2-1.근무유형'!K34/1440),'2-1.근무유형'!K34/1440,0),"hh:mm")),"")</f>
        <v/>
      </c>
      <c r="G35" s="19" t="str">
        <f t="shared" si="0"/>
        <v/>
      </c>
      <c r="H35" s="19" t="str">
        <f>IF('2-1.근무유형'!H34="","",'2-1.근무유형'!H34)</f>
        <v/>
      </c>
      <c r="I35" s="24"/>
    </row>
    <row r="36" spans="2:9" ht="18.75" customHeight="1">
      <c r="B36" s="19">
        <v>29</v>
      </c>
      <c r="C36" s="25" t="str">
        <f>IF(OR('2-1.근무유형'!E35="",LEFT('2-1.근무유형'!E35,1)="("),"",'2-1.근무유형'!E35)</f>
        <v/>
      </c>
      <c r="D36" s="19" t="str">
        <f>IF(OR('2-1.근무유형'!G35="",'2-1.근무유형'!H35=""),"",'2-1.근무유형'!G35&amp;"-"&amp;'2-1.근무유형'!H35)</f>
        <v/>
      </c>
      <c r="E36" s="19" t="str">
        <f>IF('2-1.근무유형'!G35="","",'2-1.근무유형'!G35)</f>
        <v/>
      </c>
      <c r="F36" s="19" t="str">
        <f>IFERROR(IF(OR('2-1.근무유형'!G35="",'2-1.근무유형'!H35="",'2-1.근무유형'!K35="",TIMEVALUE('2-1.근무유형'!H35)&lt;=TIMEVALUE('2-1.근무유형'!G35)),"",TEXT(TIMEVALUE('2-1.근무유형'!G35)+(TIMEVALUE('2-1.근무유형'!H35)-TIMEVALUE('2-1.근무유형'!G35)-'2-1.근무유형'!K35/1440)/2+IF(AND('2-1.근무유형'!I35&lt;&gt;"",TIMEVALUE('2-1.근무유형'!I35)&gt;=TIMEVALUE('2-1.근무유형'!G35),TIMEVALUE('2-1.근무유형'!I35)&lt;TIMEVALUE('2-1.근무유형'!G35)+(TIMEVALUE('2-1.근무유형'!H35)-TIMEVALUE('2-1.근무유형'!G35)-'2-1.근무유형'!K35/1440)/2+'2-1.근무유형'!K35/1440),'2-1.근무유형'!K35/1440,0),"hh:mm")),"")</f>
        <v/>
      </c>
      <c r="G36" s="19" t="str">
        <f t="shared" si="0"/>
        <v/>
      </c>
      <c r="H36" s="19" t="str">
        <f>IF('2-1.근무유형'!H35="","",'2-1.근무유형'!H35)</f>
        <v/>
      </c>
      <c r="I36" s="24"/>
    </row>
    <row r="37" spans="2:9" ht="18.75" customHeight="1">
      <c r="B37" s="19">
        <v>30</v>
      </c>
      <c r="C37" s="25" t="str">
        <f>IF(OR('2-1.근무유형'!E36="",LEFT('2-1.근무유형'!E36,1)="("),"",'2-1.근무유형'!E36)</f>
        <v/>
      </c>
      <c r="D37" s="19" t="str">
        <f>IF(OR('2-1.근무유형'!G36="",'2-1.근무유형'!H36=""),"",'2-1.근무유형'!G36&amp;"-"&amp;'2-1.근무유형'!H36)</f>
        <v/>
      </c>
      <c r="E37" s="19" t="str">
        <f>IF('2-1.근무유형'!G36="","",'2-1.근무유형'!G36)</f>
        <v/>
      </c>
      <c r="F37" s="19" t="str">
        <f>IFERROR(IF(OR('2-1.근무유형'!G36="",'2-1.근무유형'!H36="",'2-1.근무유형'!K36="",TIMEVALUE('2-1.근무유형'!H36)&lt;=TIMEVALUE('2-1.근무유형'!G36)),"",TEXT(TIMEVALUE('2-1.근무유형'!G36)+(TIMEVALUE('2-1.근무유형'!H36)-TIMEVALUE('2-1.근무유형'!G36)-'2-1.근무유형'!K36/1440)/2+IF(AND('2-1.근무유형'!I36&lt;&gt;"",TIMEVALUE('2-1.근무유형'!I36)&gt;=TIMEVALUE('2-1.근무유형'!G36),TIMEVALUE('2-1.근무유형'!I36)&lt;TIMEVALUE('2-1.근무유형'!G36)+(TIMEVALUE('2-1.근무유형'!H36)-TIMEVALUE('2-1.근무유형'!G36)-'2-1.근무유형'!K36/1440)/2+'2-1.근무유형'!K36/1440),'2-1.근무유형'!K36/1440,0),"hh:mm")),"")</f>
        <v/>
      </c>
      <c r="G37" s="19" t="str">
        <f t="shared" si="0"/>
        <v/>
      </c>
      <c r="H37" s="19" t="str">
        <f>IF('2-1.근무유형'!H36="","",'2-1.근무유형'!H36)</f>
        <v/>
      </c>
      <c r="I37" s="24"/>
    </row>
    <row r="38" spans="2:9" ht="18.75" customHeight="1">
      <c r="B38" s="19">
        <v>31</v>
      </c>
      <c r="C38" s="25" t="str">
        <f>IF(OR('2-1.근무유형'!E37="",LEFT('2-1.근무유형'!E37,1)="("),"",'2-1.근무유형'!E37)</f>
        <v/>
      </c>
      <c r="D38" s="19" t="str">
        <f>IF(OR('2-1.근무유형'!G37="",'2-1.근무유형'!H37=""),"",'2-1.근무유형'!G37&amp;"-"&amp;'2-1.근무유형'!H37)</f>
        <v/>
      </c>
      <c r="E38" s="19" t="str">
        <f>IF('2-1.근무유형'!G37="","",'2-1.근무유형'!G37)</f>
        <v/>
      </c>
      <c r="F38" s="19" t="str">
        <f>IFERROR(IF(OR('2-1.근무유형'!G37="",'2-1.근무유형'!H37="",'2-1.근무유형'!K37="",TIMEVALUE('2-1.근무유형'!H37)&lt;=TIMEVALUE('2-1.근무유형'!G37)),"",TEXT(TIMEVALUE('2-1.근무유형'!G37)+(TIMEVALUE('2-1.근무유형'!H37)-TIMEVALUE('2-1.근무유형'!G37)-'2-1.근무유형'!K37/1440)/2+IF(AND('2-1.근무유형'!I37&lt;&gt;"",TIMEVALUE('2-1.근무유형'!I37)&gt;=TIMEVALUE('2-1.근무유형'!G37),TIMEVALUE('2-1.근무유형'!I37)&lt;TIMEVALUE('2-1.근무유형'!G37)+(TIMEVALUE('2-1.근무유형'!H37)-TIMEVALUE('2-1.근무유형'!G37)-'2-1.근무유형'!K37/1440)/2+'2-1.근무유형'!K37/1440),'2-1.근무유형'!K37/1440,0),"hh:mm")),"")</f>
        <v/>
      </c>
      <c r="G38" s="19" t="str">
        <f t="shared" si="0"/>
        <v/>
      </c>
      <c r="H38" s="19" t="str">
        <f>IF('2-1.근무유형'!H37="","",'2-1.근무유형'!H37)</f>
        <v/>
      </c>
      <c r="I38" s="24"/>
    </row>
    <row r="39" spans="2:9" ht="18.75" customHeight="1">
      <c r="B39" s="19">
        <v>32</v>
      </c>
      <c r="C39" s="25" t="str">
        <f>IF(OR('2-1.근무유형'!E38="",LEFT('2-1.근무유형'!E38,1)="("),"",'2-1.근무유형'!E38)</f>
        <v/>
      </c>
      <c r="D39" s="19" t="str">
        <f>IF(OR('2-1.근무유형'!G38="",'2-1.근무유형'!H38=""),"",'2-1.근무유형'!G38&amp;"-"&amp;'2-1.근무유형'!H38)</f>
        <v/>
      </c>
      <c r="E39" s="19" t="str">
        <f>IF('2-1.근무유형'!G38="","",'2-1.근무유형'!G38)</f>
        <v/>
      </c>
      <c r="F39" s="19" t="str">
        <f>IFERROR(IF(OR('2-1.근무유형'!G38="",'2-1.근무유형'!H38="",'2-1.근무유형'!K38="",TIMEVALUE('2-1.근무유형'!H38)&lt;=TIMEVALUE('2-1.근무유형'!G38)),"",TEXT(TIMEVALUE('2-1.근무유형'!G38)+(TIMEVALUE('2-1.근무유형'!H38)-TIMEVALUE('2-1.근무유형'!G38)-'2-1.근무유형'!K38/1440)/2+IF(AND('2-1.근무유형'!I38&lt;&gt;"",TIMEVALUE('2-1.근무유형'!I38)&gt;=TIMEVALUE('2-1.근무유형'!G38),TIMEVALUE('2-1.근무유형'!I38)&lt;TIMEVALUE('2-1.근무유형'!G38)+(TIMEVALUE('2-1.근무유형'!H38)-TIMEVALUE('2-1.근무유형'!G38)-'2-1.근무유형'!K38/1440)/2+'2-1.근무유형'!K38/1440),'2-1.근무유형'!K38/1440,0),"hh:mm")),"")</f>
        <v/>
      </c>
      <c r="G39" s="19" t="str">
        <f t="shared" si="0"/>
        <v/>
      </c>
      <c r="H39" s="19" t="str">
        <f>IF('2-1.근무유형'!H38="","",'2-1.근무유형'!H38)</f>
        <v/>
      </c>
      <c r="I39" s="24"/>
    </row>
    <row r="40" spans="2:9" ht="18.75" customHeight="1">
      <c r="B40" s="19">
        <v>33</v>
      </c>
      <c r="C40" s="25" t="str">
        <f>IF(OR('2-1.근무유형'!E39="",LEFT('2-1.근무유형'!E39,1)="("),"",'2-1.근무유형'!E39)</f>
        <v/>
      </c>
      <c r="D40" s="19" t="str">
        <f>IF(OR('2-1.근무유형'!G39="",'2-1.근무유형'!H39=""),"",'2-1.근무유형'!G39&amp;"-"&amp;'2-1.근무유형'!H39)</f>
        <v/>
      </c>
      <c r="E40" s="19" t="str">
        <f>IF('2-1.근무유형'!G39="","",'2-1.근무유형'!G39)</f>
        <v/>
      </c>
      <c r="F40" s="19" t="str">
        <f>IFERROR(IF(OR('2-1.근무유형'!G39="",'2-1.근무유형'!H39="",'2-1.근무유형'!K39="",TIMEVALUE('2-1.근무유형'!H39)&lt;=TIMEVALUE('2-1.근무유형'!G39)),"",TEXT(TIMEVALUE('2-1.근무유형'!G39)+(TIMEVALUE('2-1.근무유형'!H39)-TIMEVALUE('2-1.근무유형'!G39)-'2-1.근무유형'!K39/1440)/2+IF(AND('2-1.근무유형'!I39&lt;&gt;"",TIMEVALUE('2-1.근무유형'!I39)&gt;=TIMEVALUE('2-1.근무유형'!G39),TIMEVALUE('2-1.근무유형'!I39)&lt;TIMEVALUE('2-1.근무유형'!G39)+(TIMEVALUE('2-1.근무유형'!H39)-TIMEVALUE('2-1.근무유형'!G39)-'2-1.근무유형'!K39/1440)/2+'2-1.근무유형'!K39/1440),'2-1.근무유형'!K39/1440,0),"hh:mm")),"")</f>
        <v/>
      </c>
      <c r="G40" s="19" t="str">
        <f t="shared" si="0"/>
        <v/>
      </c>
      <c r="H40" s="19" t="str">
        <f>IF('2-1.근무유형'!H39="","",'2-1.근무유형'!H39)</f>
        <v/>
      </c>
      <c r="I40" s="24"/>
    </row>
    <row r="41" spans="2:9" ht="18.75" customHeight="1">
      <c r="B41" s="19">
        <v>34</v>
      </c>
      <c r="C41" s="25" t="str">
        <f>IF(OR('2-1.근무유형'!E40="",LEFT('2-1.근무유형'!E40,1)="("),"",'2-1.근무유형'!E40)</f>
        <v/>
      </c>
      <c r="D41" s="19" t="str">
        <f>IF(OR('2-1.근무유형'!G40="",'2-1.근무유형'!H40=""),"",'2-1.근무유형'!G40&amp;"-"&amp;'2-1.근무유형'!H40)</f>
        <v/>
      </c>
      <c r="E41" s="19" t="str">
        <f>IF('2-1.근무유형'!G40="","",'2-1.근무유형'!G40)</f>
        <v/>
      </c>
      <c r="F41" s="19" t="str">
        <f>IFERROR(IF(OR('2-1.근무유형'!G40="",'2-1.근무유형'!H40="",'2-1.근무유형'!K40="",TIMEVALUE('2-1.근무유형'!H40)&lt;=TIMEVALUE('2-1.근무유형'!G40)),"",TEXT(TIMEVALUE('2-1.근무유형'!G40)+(TIMEVALUE('2-1.근무유형'!H40)-TIMEVALUE('2-1.근무유형'!G40)-'2-1.근무유형'!K40/1440)/2+IF(AND('2-1.근무유형'!I40&lt;&gt;"",TIMEVALUE('2-1.근무유형'!I40)&gt;=TIMEVALUE('2-1.근무유형'!G40),TIMEVALUE('2-1.근무유형'!I40)&lt;TIMEVALUE('2-1.근무유형'!G40)+(TIMEVALUE('2-1.근무유형'!H40)-TIMEVALUE('2-1.근무유형'!G40)-'2-1.근무유형'!K40/1440)/2+'2-1.근무유형'!K40/1440),'2-1.근무유형'!K40/1440,0),"hh:mm")),"")</f>
        <v/>
      </c>
      <c r="G41" s="19" t="str">
        <f t="shared" si="0"/>
        <v/>
      </c>
      <c r="H41" s="19" t="str">
        <f>IF('2-1.근무유형'!H40="","",'2-1.근무유형'!H40)</f>
        <v/>
      </c>
      <c r="I41" s="24"/>
    </row>
    <row r="42" spans="2:9" ht="18.75" customHeight="1">
      <c r="B42" s="19">
        <v>35</v>
      </c>
      <c r="C42" s="25" t="str">
        <f>IF(OR('2-1.근무유형'!E41="",LEFT('2-1.근무유형'!E41,1)="("),"",'2-1.근무유형'!E41)</f>
        <v/>
      </c>
      <c r="D42" s="19" t="str">
        <f>IF(OR('2-1.근무유형'!G41="",'2-1.근무유형'!H41=""),"",'2-1.근무유형'!G41&amp;"-"&amp;'2-1.근무유형'!H41)</f>
        <v/>
      </c>
      <c r="E42" s="19" t="str">
        <f>IF('2-1.근무유형'!G41="","",'2-1.근무유형'!G41)</f>
        <v/>
      </c>
      <c r="F42" s="19" t="str">
        <f>IFERROR(IF(OR('2-1.근무유형'!G41="",'2-1.근무유형'!H41="",'2-1.근무유형'!K41="",TIMEVALUE('2-1.근무유형'!H41)&lt;=TIMEVALUE('2-1.근무유형'!G41)),"",TEXT(TIMEVALUE('2-1.근무유형'!G41)+(TIMEVALUE('2-1.근무유형'!H41)-TIMEVALUE('2-1.근무유형'!G41)-'2-1.근무유형'!K41/1440)/2+IF(AND('2-1.근무유형'!I41&lt;&gt;"",TIMEVALUE('2-1.근무유형'!I41)&gt;=TIMEVALUE('2-1.근무유형'!G41),TIMEVALUE('2-1.근무유형'!I41)&lt;TIMEVALUE('2-1.근무유형'!G41)+(TIMEVALUE('2-1.근무유형'!H41)-TIMEVALUE('2-1.근무유형'!G41)-'2-1.근무유형'!K41/1440)/2+'2-1.근무유형'!K41/1440),'2-1.근무유형'!K41/1440,0),"hh:mm")),"")</f>
        <v/>
      </c>
      <c r="G42" s="19" t="str">
        <f t="shared" si="0"/>
        <v/>
      </c>
      <c r="H42" s="19" t="str">
        <f>IF('2-1.근무유형'!H41="","",'2-1.근무유형'!H41)</f>
        <v/>
      </c>
      <c r="I42" s="24"/>
    </row>
    <row r="43" spans="2:9" ht="18.75" customHeight="1">
      <c r="B43" s="19">
        <v>36</v>
      </c>
      <c r="C43" s="25" t="str">
        <f>IF(OR('2-1.근무유형'!E42="",LEFT('2-1.근무유형'!E42,1)="("),"",'2-1.근무유형'!E42)</f>
        <v/>
      </c>
      <c r="D43" s="19" t="str">
        <f>IF(OR('2-1.근무유형'!G42="",'2-1.근무유형'!H42=""),"",'2-1.근무유형'!G42&amp;"-"&amp;'2-1.근무유형'!H42)</f>
        <v/>
      </c>
      <c r="E43" s="19" t="str">
        <f>IF('2-1.근무유형'!G42="","",'2-1.근무유형'!G42)</f>
        <v/>
      </c>
      <c r="F43" s="19" t="str">
        <f>IFERROR(IF(OR('2-1.근무유형'!G42="",'2-1.근무유형'!H42="",'2-1.근무유형'!K42="",TIMEVALUE('2-1.근무유형'!H42)&lt;=TIMEVALUE('2-1.근무유형'!G42)),"",TEXT(TIMEVALUE('2-1.근무유형'!G42)+(TIMEVALUE('2-1.근무유형'!H42)-TIMEVALUE('2-1.근무유형'!G42)-'2-1.근무유형'!K42/1440)/2+IF(AND('2-1.근무유형'!I42&lt;&gt;"",TIMEVALUE('2-1.근무유형'!I42)&gt;=TIMEVALUE('2-1.근무유형'!G42),TIMEVALUE('2-1.근무유형'!I42)&lt;TIMEVALUE('2-1.근무유형'!G42)+(TIMEVALUE('2-1.근무유형'!H42)-TIMEVALUE('2-1.근무유형'!G42)-'2-1.근무유형'!K42/1440)/2+'2-1.근무유형'!K42/1440),'2-1.근무유형'!K42/1440,0),"hh:mm")),"")</f>
        <v/>
      </c>
      <c r="G43" s="19" t="str">
        <f t="shared" si="0"/>
        <v/>
      </c>
      <c r="H43" s="19" t="str">
        <f>IF('2-1.근무유형'!H42="","",'2-1.근무유형'!H42)</f>
        <v/>
      </c>
      <c r="I43" s="24"/>
    </row>
    <row r="44" spans="2:9" ht="18.75" customHeight="1">
      <c r="B44" s="19">
        <v>37</v>
      </c>
      <c r="C44" s="25" t="str">
        <f>IF(OR('2-1.근무유형'!E43="",LEFT('2-1.근무유형'!E43,1)="("),"",'2-1.근무유형'!E43)</f>
        <v/>
      </c>
      <c r="D44" s="19" t="str">
        <f>IF(OR('2-1.근무유형'!G43="",'2-1.근무유형'!H43=""),"",'2-1.근무유형'!G43&amp;"-"&amp;'2-1.근무유형'!H43)</f>
        <v/>
      </c>
      <c r="E44" s="19" t="str">
        <f>IF('2-1.근무유형'!G43="","",'2-1.근무유형'!G43)</f>
        <v/>
      </c>
      <c r="F44" s="19" t="str">
        <f>IFERROR(IF(OR('2-1.근무유형'!G43="",'2-1.근무유형'!H43="",'2-1.근무유형'!K43="",TIMEVALUE('2-1.근무유형'!H43)&lt;=TIMEVALUE('2-1.근무유형'!G43)),"",TEXT(TIMEVALUE('2-1.근무유형'!G43)+(TIMEVALUE('2-1.근무유형'!H43)-TIMEVALUE('2-1.근무유형'!G43)-'2-1.근무유형'!K43/1440)/2+IF(AND('2-1.근무유형'!I43&lt;&gt;"",TIMEVALUE('2-1.근무유형'!I43)&gt;=TIMEVALUE('2-1.근무유형'!G43),TIMEVALUE('2-1.근무유형'!I43)&lt;TIMEVALUE('2-1.근무유형'!G43)+(TIMEVALUE('2-1.근무유형'!H43)-TIMEVALUE('2-1.근무유형'!G43)-'2-1.근무유형'!K43/1440)/2+'2-1.근무유형'!K43/1440),'2-1.근무유형'!K43/1440,0),"hh:mm")),"")</f>
        <v/>
      </c>
      <c r="G44" s="19" t="str">
        <f t="shared" si="0"/>
        <v/>
      </c>
      <c r="H44" s="19" t="str">
        <f>IF('2-1.근무유형'!H43="","",'2-1.근무유형'!H43)</f>
        <v/>
      </c>
      <c r="I44" s="24"/>
    </row>
    <row r="45" spans="2:9" ht="18.75" customHeight="1">
      <c r="B45" s="19">
        <v>38</v>
      </c>
      <c r="C45" s="25" t="str">
        <f>IF(OR('2-1.근무유형'!E44="",LEFT('2-1.근무유형'!E44,1)="("),"",'2-1.근무유형'!E44)</f>
        <v/>
      </c>
      <c r="D45" s="19" t="str">
        <f>IF(OR('2-1.근무유형'!G44="",'2-1.근무유형'!H44=""),"",'2-1.근무유형'!G44&amp;"-"&amp;'2-1.근무유형'!H44)</f>
        <v/>
      </c>
      <c r="E45" s="19" t="str">
        <f>IF('2-1.근무유형'!G44="","",'2-1.근무유형'!G44)</f>
        <v/>
      </c>
      <c r="F45" s="19" t="str">
        <f>IFERROR(IF(OR('2-1.근무유형'!G44="",'2-1.근무유형'!H44="",'2-1.근무유형'!K44="",TIMEVALUE('2-1.근무유형'!H44)&lt;=TIMEVALUE('2-1.근무유형'!G44)),"",TEXT(TIMEVALUE('2-1.근무유형'!G44)+(TIMEVALUE('2-1.근무유형'!H44)-TIMEVALUE('2-1.근무유형'!G44)-'2-1.근무유형'!K44/1440)/2+IF(AND('2-1.근무유형'!I44&lt;&gt;"",TIMEVALUE('2-1.근무유형'!I44)&gt;=TIMEVALUE('2-1.근무유형'!G44),TIMEVALUE('2-1.근무유형'!I44)&lt;TIMEVALUE('2-1.근무유형'!G44)+(TIMEVALUE('2-1.근무유형'!H44)-TIMEVALUE('2-1.근무유형'!G44)-'2-1.근무유형'!K44/1440)/2+'2-1.근무유형'!K44/1440),'2-1.근무유형'!K44/1440,0),"hh:mm")),"")</f>
        <v/>
      </c>
      <c r="G45" s="19" t="str">
        <f t="shared" si="0"/>
        <v/>
      </c>
      <c r="H45" s="19" t="str">
        <f>IF('2-1.근무유형'!H44="","",'2-1.근무유형'!H44)</f>
        <v/>
      </c>
      <c r="I45" s="24"/>
    </row>
    <row r="46" spans="2:9" ht="18.75" customHeight="1">
      <c r="B46" s="19">
        <v>39</v>
      </c>
      <c r="C46" s="25" t="str">
        <f>IF(OR('2-1.근무유형'!E45="",LEFT('2-1.근무유형'!E45,1)="("),"",'2-1.근무유형'!E45)</f>
        <v/>
      </c>
      <c r="D46" s="19" t="str">
        <f>IF(OR('2-1.근무유형'!G45="",'2-1.근무유형'!H45=""),"",'2-1.근무유형'!G45&amp;"-"&amp;'2-1.근무유형'!H45)</f>
        <v/>
      </c>
      <c r="E46" s="19" t="str">
        <f>IF('2-1.근무유형'!G45="","",'2-1.근무유형'!G45)</f>
        <v/>
      </c>
      <c r="F46" s="19" t="str">
        <f>IFERROR(IF(OR('2-1.근무유형'!G45="",'2-1.근무유형'!H45="",'2-1.근무유형'!K45="",TIMEVALUE('2-1.근무유형'!H45)&lt;=TIMEVALUE('2-1.근무유형'!G45)),"",TEXT(TIMEVALUE('2-1.근무유형'!G45)+(TIMEVALUE('2-1.근무유형'!H45)-TIMEVALUE('2-1.근무유형'!G45)-'2-1.근무유형'!K45/1440)/2+IF(AND('2-1.근무유형'!I45&lt;&gt;"",TIMEVALUE('2-1.근무유형'!I45)&gt;=TIMEVALUE('2-1.근무유형'!G45),TIMEVALUE('2-1.근무유형'!I45)&lt;TIMEVALUE('2-1.근무유형'!G45)+(TIMEVALUE('2-1.근무유형'!H45)-TIMEVALUE('2-1.근무유형'!G45)-'2-1.근무유형'!K45/1440)/2+'2-1.근무유형'!K45/1440),'2-1.근무유형'!K45/1440,0),"hh:mm")),"")</f>
        <v/>
      </c>
      <c r="G46" s="19" t="str">
        <f t="shared" si="0"/>
        <v/>
      </c>
      <c r="H46" s="19" t="str">
        <f>IF('2-1.근무유형'!H45="","",'2-1.근무유형'!H45)</f>
        <v/>
      </c>
      <c r="I46" s="24"/>
    </row>
    <row r="47" spans="2:9" ht="18.75" customHeight="1">
      <c r="B47" s="19">
        <v>40</v>
      </c>
      <c r="C47" s="25" t="str">
        <f>IF(OR('2-1.근무유형'!E46="",LEFT('2-1.근무유형'!E46,1)="("),"",'2-1.근무유형'!E46)</f>
        <v/>
      </c>
      <c r="D47" s="19" t="str">
        <f>IF(OR('2-1.근무유형'!G46="",'2-1.근무유형'!H46=""),"",'2-1.근무유형'!G46&amp;"-"&amp;'2-1.근무유형'!H46)</f>
        <v/>
      </c>
      <c r="E47" s="19" t="str">
        <f>IF('2-1.근무유형'!G46="","",'2-1.근무유형'!G46)</f>
        <v/>
      </c>
      <c r="F47" s="19" t="str">
        <f>IFERROR(IF(OR('2-1.근무유형'!G46="",'2-1.근무유형'!H46="",'2-1.근무유형'!K46="",TIMEVALUE('2-1.근무유형'!H46)&lt;=TIMEVALUE('2-1.근무유형'!G46)),"",TEXT(TIMEVALUE('2-1.근무유형'!G46)+(TIMEVALUE('2-1.근무유형'!H46)-TIMEVALUE('2-1.근무유형'!G46)-'2-1.근무유형'!K46/1440)/2+IF(AND('2-1.근무유형'!I46&lt;&gt;"",TIMEVALUE('2-1.근무유형'!I46)&gt;=TIMEVALUE('2-1.근무유형'!G46),TIMEVALUE('2-1.근무유형'!I46)&lt;TIMEVALUE('2-1.근무유형'!G46)+(TIMEVALUE('2-1.근무유형'!H46)-TIMEVALUE('2-1.근무유형'!G46)-'2-1.근무유형'!K46/1440)/2+'2-1.근무유형'!K46/1440),'2-1.근무유형'!K46/1440,0),"hh:mm")),"")</f>
        <v/>
      </c>
      <c r="G47" s="19" t="str">
        <f t="shared" si="0"/>
        <v/>
      </c>
      <c r="H47" s="19" t="str">
        <f>IF('2-1.근무유형'!H46="","",'2-1.근무유형'!H46)</f>
        <v/>
      </c>
      <c r="I47" s="24"/>
    </row>
  </sheetData>
  <mergeCells count="8">
    <mergeCell ref="B2:I2"/>
    <mergeCell ref="B4:I4"/>
    <mergeCell ref="B6:B7"/>
    <mergeCell ref="C6:C7"/>
    <mergeCell ref="D6:D7"/>
    <mergeCell ref="E6:F6"/>
    <mergeCell ref="G6:H6"/>
    <mergeCell ref="I6:I7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7"/>
  <sheetViews>
    <sheetView showGridLines="0" topLeftCell="A4" zoomScaleNormal="100" workbookViewId="0">
      <selection activeCell="J24" sqref="J24"/>
    </sheetView>
  </sheetViews>
  <sheetFormatPr defaultColWidth="8.6640625" defaultRowHeight="14.4"/>
  <cols>
    <col min="1" max="1" width="2.21875" customWidth="1"/>
    <col min="2" max="2" width="5" customWidth="1"/>
    <col min="3" max="3" width="24" customWidth="1"/>
    <col min="4" max="4" width="16" customWidth="1"/>
    <col min="5" max="5" width="10" customWidth="1"/>
    <col min="6" max="6" width="9" customWidth="1"/>
    <col min="7" max="8" width="10" customWidth="1"/>
    <col min="9" max="9" width="9" customWidth="1"/>
    <col min="10" max="10" width="11" customWidth="1"/>
    <col min="11" max="11" width="34" customWidth="1"/>
  </cols>
  <sheetData>
    <row r="2" spans="2:11" ht="25.5" customHeight="1">
      <c r="B2" s="8" t="s">
        <v>156</v>
      </c>
      <c r="C2" s="8"/>
      <c r="D2" s="8"/>
      <c r="E2" s="8"/>
      <c r="F2" s="8"/>
      <c r="G2" s="8"/>
      <c r="H2" s="8"/>
      <c r="I2" s="8"/>
      <c r="J2" s="8"/>
      <c r="K2" s="8"/>
    </row>
    <row r="4" spans="2:11" ht="78" customHeight="1">
      <c r="B4" s="5" t="s">
        <v>157</v>
      </c>
      <c r="C4" s="5"/>
      <c r="D4" s="5"/>
      <c r="E4" s="5"/>
      <c r="F4" s="5"/>
      <c r="G4" s="5"/>
      <c r="H4" s="5"/>
      <c r="I4" s="5"/>
      <c r="J4" s="5"/>
      <c r="K4" s="5"/>
    </row>
    <row r="6" spans="2:11" ht="19.5" customHeight="1">
      <c r="B6" s="4" t="s">
        <v>35</v>
      </c>
      <c r="C6" s="3" t="s">
        <v>83</v>
      </c>
      <c r="D6" s="3" t="s">
        <v>150</v>
      </c>
      <c r="E6" s="3" t="s">
        <v>158</v>
      </c>
      <c r="F6" s="3"/>
      <c r="G6" s="3"/>
      <c r="H6" s="3" t="s">
        <v>159</v>
      </c>
      <c r="I6" s="3"/>
      <c r="J6" s="3" t="s">
        <v>160</v>
      </c>
      <c r="K6" s="3" t="s">
        <v>161</v>
      </c>
    </row>
    <row r="7" spans="2:11" ht="18" customHeight="1">
      <c r="B7" s="4"/>
      <c r="C7" s="4"/>
      <c r="D7" s="4"/>
      <c r="E7" s="18" t="s">
        <v>162</v>
      </c>
      <c r="F7" s="18" t="s">
        <v>163</v>
      </c>
      <c r="G7" s="18" t="s">
        <v>164</v>
      </c>
      <c r="H7" s="18" t="s">
        <v>162</v>
      </c>
      <c r="I7" s="18" t="s">
        <v>163</v>
      </c>
      <c r="J7" s="3"/>
      <c r="K7" s="3"/>
    </row>
    <row r="8" spans="2:11" ht="18.75" customHeight="1">
      <c r="B8" s="19">
        <v>1</v>
      </c>
      <c r="C8" s="25" t="str">
        <f>IF(OR('2-1.근무유형'!E7="",LEFT('2-1.근무유형'!E7,1)="("),"",'2-1.근무유형'!E7)</f>
        <v>기본(09:00-18:00)</v>
      </c>
      <c r="D8" s="19" t="str">
        <f>IF(OR('2-1.근무유형'!G7="",'2-1.근무유형'!H7=""),"",'2-1.근무유형'!G7&amp;"-"&amp;'2-1.근무유형'!H7)</f>
        <v>09:00-18:00</v>
      </c>
      <c r="E8" s="19" t="str">
        <f>IF('2-1.근무유형'!G7="","",'2-1.근무유형'!G7)</f>
        <v>09:00</v>
      </c>
      <c r="F8" s="23"/>
      <c r="G8" s="23"/>
      <c r="H8" s="19" t="str">
        <f>IF('2-1.근무유형'!H7="","",'2-1.근무유형'!H7)</f>
        <v>18:00</v>
      </c>
      <c r="I8" s="23"/>
      <c r="J8" s="23"/>
      <c r="K8" s="24"/>
    </row>
    <row r="9" spans="2:11" ht="18.75" customHeight="1">
      <c r="B9" s="19">
        <v>2</v>
      </c>
      <c r="C9" s="25" t="str">
        <f>IF(OR('2-1.근무유형'!E8="",LEFT('2-1.근무유형'!E8,1)="("),"",'2-1.근무유형'!E8)</f>
        <v>시차(08:00-17:00)</v>
      </c>
      <c r="D9" s="19" t="str">
        <f>IF(OR('2-1.근무유형'!G8="",'2-1.근무유형'!H8=""),"",'2-1.근무유형'!G8&amp;"-"&amp;'2-1.근무유형'!H8)</f>
        <v>08:00-17:00</v>
      </c>
      <c r="E9" s="19" t="str">
        <f>IF('2-1.근무유형'!G8="","",'2-1.근무유형'!G8)</f>
        <v>08:00</v>
      </c>
      <c r="F9" s="23"/>
      <c r="G9" s="23"/>
      <c r="H9" s="19" t="str">
        <f>IF('2-1.근무유형'!H8="","",'2-1.근무유형'!H8)</f>
        <v>17:00</v>
      </c>
      <c r="I9" s="23"/>
      <c r="J9" s="23"/>
      <c r="K9" s="24"/>
    </row>
    <row r="10" spans="2:11" ht="18.75" customHeight="1">
      <c r="B10" s="19">
        <v>3</v>
      </c>
      <c r="C10" s="25" t="str">
        <f>IF(OR('2-1.근무유형'!E9="",LEFT('2-1.근무유형'!E9,1)="("),"",'2-1.근무유형'!E9)</f>
        <v>재택(09:00-18:00)</v>
      </c>
      <c r="D10" s="19" t="str">
        <f>IF(OR('2-1.근무유형'!G9="",'2-1.근무유형'!H9=""),"",'2-1.근무유형'!G9&amp;"-"&amp;'2-1.근무유형'!H9)</f>
        <v>09:00-18:00</v>
      </c>
      <c r="E10" s="19" t="str">
        <f>IF('2-1.근무유형'!G9="","",'2-1.근무유형'!G9)</f>
        <v>09:00</v>
      </c>
      <c r="F10" s="23"/>
      <c r="G10" s="23"/>
      <c r="H10" s="19" t="str">
        <f>IF('2-1.근무유형'!H9="","",'2-1.근무유형'!H9)</f>
        <v>18:00</v>
      </c>
      <c r="I10" s="23"/>
      <c r="J10" s="23"/>
      <c r="K10" s="24"/>
    </row>
    <row r="11" spans="2:11" ht="18.75" customHeight="1">
      <c r="B11" s="19">
        <v>4</v>
      </c>
      <c r="C11" s="25" t="str">
        <f>IF(OR('2-1.근무유형'!E10="",LEFT('2-1.근무유형'!E10,1)="("),"",'2-1.근무유형'!E10)</f>
        <v>임신기단축(08:00-15:00)</v>
      </c>
      <c r="D11" s="19" t="str">
        <f>IF(OR('2-1.근무유형'!G10="",'2-1.근무유형'!H10=""),"",'2-1.근무유형'!G10&amp;"-"&amp;'2-1.근무유형'!H10)</f>
        <v>08:00-15:00</v>
      </c>
      <c r="E11" s="19" t="str">
        <f>IF('2-1.근무유형'!G10="","",'2-1.근무유형'!G10)</f>
        <v>08:00</v>
      </c>
      <c r="F11" s="23"/>
      <c r="G11" s="23"/>
      <c r="H11" s="19" t="str">
        <f>IF('2-1.근무유형'!H10="","",'2-1.근무유형'!H10)</f>
        <v>15:00</v>
      </c>
      <c r="I11" s="23"/>
      <c r="J11" s="23"/>
      <c r="K11" s="24"/>
    </row>
    <row r="12" spans="2:11" ht="18.75" customHeight="1">
      <c r="B12" s="19">
        <v>5</v>
      </c>
      <c r="C12" s="25" t="str">
        <f>IF(OR('2-1.근무유형'!E11="",LEFT('2-1.근무유형'!E11,1)="("),"",'2-1.근무유형'!E11)</f>
        <v>임신기단축(09:00-16:00)</v>
      </c>
      <c r="D12" s="19" t="str">
        <f>IF(OR('2-1.근무유형'!G11="",'2-1.근무유형'!H11=""),"",'2-1.근무유형'!G11&amp;"-"&amp;'2-1.근무유형'!H11)</f>
        <v>09:00-16:00</v>
      </c>
      <c r="E12" s="19" t="str">
        <f>IF('2-1.근무유형'!G11="","",'2-1.근무유형'!G11)</f>
        <v>09:00</v>
      </c>
      <c r="F12" s="23"/>
      <c r="G12" s="23"/>
      <c r="H12" s="19" t="str">
        <f>IF('2-1.근무유형'!H11="","",'2-1.근무유형'!H11)</f>
        <v>16:00</v>
      </c>
      <c r="I12" s="23"/>
      <c r="J12" s="23"/>
      <c r="K12" s="24"/>
    </row>
    <row r="13" spans="2:11" ht="18.75" customHeight="1">
      <c r="B13" s="19">
        <v>6</v>
      </c>
      <c r="C13" s="25" t="str">
        <f>IF(OR('2-1.근무유형'!E12="",LEFT('2-1.근무유형'!E12,1)="("),"",'2-1.근무유형'!E12)</f>
        <v>임신기단축(10:00-17:00)</v>
      </c>
      <c r="D13" s="19" t="str">
        <f>IF(OR('2-1.근무유형'!G12="",'2-1.근무유형'!H12=""),"",'2-1.근무유형'!G12&amp;"-"&amp;'2-1.근무유형'!H12)</f>
        <v>10:00-17:00</v>
      </c>
      <c r="E13" s="19" t="str">
        <f>IF('2-1.근무유형'!G12="","",'2-1.근무유형'!G12)</f>
        <v>10:00</v>
      </c>
      <c r="F13" s="23"/>
      <c r="G13" s="23"/>
      <c r="H13" s="19" t="str">
        <f>IF('2-1.근무유형'!H12="","",'2-1.근무유형'!H12)</f>
        <v>17:00</v>
      </c>
      <c r="I13" s="23"/>
      <c r="J13" s="23"/>
      <c r="K13" s="24"/>
    </row>
    <row r="14" spans="2:11" ht="18.75" customHeight="1">
      <c r="B14" s="19">
        <v>7</v>
      </c>
      <c r="C14" s="25" t="str">
        <f>IF(OR('2-1.근무유형'!E13="",LEFT('2-1.근무유형'!E13,1)="("),"",'2-1.근무유형'!E13)</f>
        <v>임신기단축(11:00-18:00)</v>
      </c>
      <c r="D14" s="19" t="str">
        <f>IF(OR('2-1.근무유형'!G13="",'2-1.근무유형'!H13=""),"",'2-1.근무유형'!G13&amp;"-"&amp;'2-1.근무유형'!H13)</f>
        <v>11:00-18:00</v>
      </c>
      <c r="E14" s="19" t="str">
        <f>IF('2-1.근무유형'!G13="","",'2-1.근무유형'!G13)</f>
        <v>11:00</v>
      </c>
      <c r="F14" s="23"/>
      <c r="G14" s="23"/>
      <c r="H14" s="19" t="str">
        <f>IF('2-1.근무유형'!H13="","",'2-1.근무유형'!H13)</f>
        <v>18:00</v>
      </c>
      <c r="I14" s="23"/>
      <c r="J14" s="23"/>
      <c r="K14" s="24"/>
    </row>
    <row r="15" spans="2:11" ht="18.75" customHeight="1">
      <c r="B15" s="19">
        <v>8</v>
      </c>
      <c r="C15" s="25" t="str">
        <f>IF(OR('2-1.근무유형'!E14="",LEFT('2-1.근무유형'!E14,1)="("),"",'2-1.근무유형'!E14)</f>
        <v>육아기단축(09:00-17:00)</v>
      </c>
      <c r="D15" s="19" t="str">
        <f>IF(OR('2-1.근무유형'!G14="",'2-1.근무유형'!H14=""),"",'2-1.근무유형'!G14&amp;"-"&amp;'2-1.근무유형'!H14)</f>
        <v>09:00-17:00</v>
      </c>
      <c r="E15" s="19" t="str">
        <f>IF('2-1.근무유형'!G14="","",'2-1.근무유형'!G14)</f>
        <v>09:00</v>
      </c>
      <c r="F15" s="23"/>
      <c r="G15" s="23"/>
      <c r="H15" s="19" t="str">
        <f>IF('2-1.근무유형'!H14="","",'2-1.근무유형'!H14)</f>
        <v>17:00</v>
      </c>
      <c r="I15" s="23"/>
      <c r="J15" s="23"/>
      <c r="K15" s="24"/>
    </row>
    <row r="16" spans="2:11" ht="18.75" customHeight="1">
      <c r="B16" s="19">
        <v>9</v>
      </c>
      <c r="C16" s="25" t="str">
        <f>IF(OR('2-1.근무유형'!E15="",LEFT('2-1.근무유형'!E15,1)="("),"",'2-1.근무유형'!E15)</f>
        <v>육아기단축(09:00-16:00)</v>
      </c>
      <c r="D16" s="19" t="str">
        <f>IF(OR('2-1.근무유형'!G15="",'2-1.근무유형'!H15=""),"",'2-1.근무유형'!G15&amp;"-"&amp;'2-1.근무유형'!H15)</f>
        <v>09:00-16:00</v>
      </c>
      <c r="E16" s="19" t="str">
        <f>IF('2-1.근무유형'!G15="","",'2-1.근무유형'!G15)</f>
        <v>09:00</v>
      </c>
      <c r="F16" s="23"/>
      <c r="G16" s="23"/>
      <c r="H16" s="19" t="str">
        <f>IF('2-1.근무유형'!H15="","",'2-1.근무유형'!H15)</f>
        <v>16:00</v>
      </c>
      <c r="I16" s="23"/>
      <c r="J16" s="23"/>
      <c r="K16" s="24"/>
    </row>
    <row r="17" spans="2:11" ht="18.75" customHeight="1">
      <c r="B17" s="19">
        <v>10</v>
      </c>
      <c r="C17" s="25" t="str">
        <f>IF(OR('2-1.근무유형'!E16="",LEFT('2-1.근무유형'!E16,1)="("),"",'2-1.근무유형'!E16)</f>
        <v>육아기단축(09:00-15:00)</v>
      </c>
      <c r="D17" s="19" t="str">
        <f>IF(OR('2-1.근무유형'!G16="",'2-1.근무유형'!H16=""),"",'2-1.근무유형'!G16&amp;"-"&amp;'2-1.근무유형'!H16)</f>
        <v>09:00-15:00</v>
      </c>
      <c r="E17" s="19" t="str">
        <f>IF('2-1.근무유형'!G16="","",'2-1.근무유형'!G16)</f>
        <v>09:00</v>
      </c>
      <c r="F17" s="23"/>
      <c r="G17" s="23"/>
      <c r="H17" s="19" t="str">
        <f>IF('2-1.근무유형'!H16="","",'2-1.근무유형'!H16)</f>
        <v>15:00</v>
      </c>
      <c r="I17" s="23"/>
      <c r="J17" s="23"/>
      <c r="K17" s="24"/>
    </row>
    <row r="18" spans="2:11" ht="18.75" customHeight="1">
      <c r="B18" s="19">
        <v>11</v>
      </c>
      <c r="C18" s="25" t="str">
        <f>IF(OR('2-1.근무유형'!E17="",LEFT('2-1.근무유형'!E17,1)="("),"",'2-1.근무유형'!E17)</f>
        <v>A(06:00-15:00)</v>
      </c>
      <c r="D18" s="19" t="str">
        <f>IF(OR('2-1.근무유형'!G17="",'2-1.근무유형'!H17=""),"",'2-1.근무유형'!G17&amp;"-"&amp;'2-1.근무유형'!H17)</f>
        <v>06:00-15:00</v>
      </c>
      <c r="E18" s="19" t="str">
        <f>IF('2-1.근무유형'!G17="","",'2-1.근무유형'!G17)</f>
        <v>06:00</v>
      </c>
      <c r="F18" s="23"/>
      <c r="G18" s="23"/>
      <c r="H18" s="19" t="str">
        <f>IF('2-1.근무유형'!H17="","",'2-1.근무유형'!H17)</f>
        <v>15:00</v>
      </c>
      <c r="I18" s="23"/>
      <c r="J18" s="23"/>
      <c r="K18" s="24"/>
    </row>
    <row r="19" spans="2:11" ht="18.75" customHeight="1">
      <c r="B19" s="19">
        <v>12</v>
      </c>
      <c r="C19" s="25" t="str">
        <f>IF(OR('2-1.근무유형'!E18="",LEFT('2-1.근무유형'!E18,1)="("),"",'2-1.근무유형'!E18)</f>
        <v>B(07:00-16:00)</v>
      </c>
      <c r="D19" s="19" t="str">
        <f>IF(OR('2-1.근무유형'!G18="",'2-1.근무유형'!H18=""),"",'2-1.근무유형'!G18&amp;"-"&amp;'2-1.근무유형'!H18)</f>
        <v>07:00-16:00</v>
      </c>
      <c r="E19" s="19" t="str">
        <f>IF('2-1.근무유형'!G18="","",'2-1.근무유형'!G18)</f>
        <v>07:00</v>
      </c>
      <c r="F19" s="23"/>
      <c r="G19" s="23"/>
      <c r="H19" s="19" t="str">
        <f>IF('2-1.근무유형'!H18="","",'2-1.근무유형'!H18)</f>
        <v>16:00</v>
      </c>
      <c r="I19" s="23"/>
      <c r="J19" s="23"/>
      <c r="K19" s="24"/>
    </row>
    <row r="20" spans="2:11" ht="18.75" customHeight="1">
      <c r="B20" s="19">
        <v>13</v>
      </c>
      <c r="C20" s="25" t="str">
        <f>IF(OR('2-1.근무유형'!E19="",LEFT('2-1.근무유형'!E19,1)="("),"",'2-1.근무유형'!E19)</f>
        <v>B1(07:30-16:30)</v>
      </c>
      <c r="D20" s="19" t="str">
        <f>IF(OR('2-1.근무유형'!G19="",'2-1.근무유형'!H19=""),"",'2-1.근무유형'!G19&amp;"-"&amp;'2-1.근무유형'!H19)</f>
        <v>07:30-16:30</v>
      </c>
      <c r="E20" s="19" t="str">
        <f>IF('2-1.근무유형'!G19="","",'2-1.근무유형'!G19)</f>
        <v>07:30</v>
      </c>
      <c r="F20" s="23"/>
      <c r="G20" s="23"/>
      <c r="H20" s="19" t="str">
        <f>IF('2-1.근무유형'!H19="","",'2-1.근무유형'!H19)</f>
        <v>16:30</v>
      </c>
      <c r="I20" s="23"/>
      <c r="J20" s="23"/>
      <c r="K20" s="24"/>
    </row>
    <row r="21" spans="2:11" ht="18.75" customHeight="1">
      <c r="B21" s="19">
        <v>14</v>
      </c>
      <c r="C21" s="25" t="str">
        <f>IF(OR('2-1.근무유형'!E20="",LEFT('2-1.근무유형'!E20,1)="("),"",'2-1.근무유형'!E20)</f>
        <v>C(08:00-17:00)</v>
      </c>
      <c r="D21" s="19" t="str">
        <f>IF(OR('2-1.근무유형'!G20="",'2-1.근무유형'!H20=""),"",'2-1.근무유형'!G20&amp;"-"&amp;'2-1.근무유형'!H20)</f>
        <v>08:00-17:00</v>
      </c>
      <c r="E21" s="19" t="str">
        <f>IF('2-1.근무유형'!G20="","",'2-1.근무유형'!G20)</f>
        <v>08:00</v>
      </c>
      <c r="F21" s="23"/>
      <c r="G21" s="23"/>
      <c r="H21" s="19" t="str">
        <f>IF('2-1.근무유형'!H20="","",'2-1.근무유형'!H20)</f>
        <v>17:00</v>
      </c>
      <c r="I21" s="23"/>
      <c r="J21" s="23"/>
      <c r="K21" s="24"/>
    </row>
    <row r="22" spans="2:11" ht="18.75" customHeight="1">
      <c r="B22" s="19">
        <v>15</v>
      </c>
      <c r="C22" s="25" t="str">
        <f>IF(OR('2-1.근무유형'!E21="",LEFT('2-1.근무유형'!E21,1)="("),"",'2-1.근무유형'!E21)</f>
        <v>C1(08:30-17:30)</v>
      </c>
      <c r="D22" s="19" t="str">
        <f>IF(OR('2-1.근무유형'!G21="",'2-1.근무유형'!H21=""),"",'2-1.근무유형'!G21&amp;"-"&amp;'2-1.근무유형'!H21)</f>
        <v>08:30-17:30</v>
      </c>
      <c r="E22" s="19" t="str">
        <f>IF('2-1.근무유형'!G21="","",'2-1.근무유형'!G21)</f>
        <v>08:30</v>
      </c>
      <c r="F22" s="23"/>
      <c r="G22" s="23"/>
      <c r="H22" s="19" t="str">
        <f>IF('2-1.근무유형'!H21="","",'2-1.근무유형'!H21)</f>
        <v>17:30</v>
      </c>
      <c r="I22" s="23"/>
      <c r="J22" s="23"/>
      <c r="K22" s="24"/>
    </row>
    <row r="23" spans="2:11" ht="18.75" customHeight="1">
      <c r="B23" s="19">
        <v>16</v>
      </c>
      <c r="C23" s="25" t="str">
        <f>IF(OR('2-1.근무유형'!E22="",LEFT('2-1.근무유형'!E22,1)="("),"",'2-1.근무유형'!E22)</f>
        <v>D(09:00-18:00)</v>
      </c>
      <c r="D23" s="19" t="str">
        <f>IF(OR('2-1.근무유형'!G22="",'2-1.근무유형'!H22=""),"",'2-1.근무유형'!G22&amp;"-"&amp;'2-1.근무유형'!H22)</f>
        <v>09:00-18:00</v>
      </c>
      <c r="E23" s="19" t="str">
        <f>IF('2-1.근무유형'!G22="","",'2-1.근무유형'!G22)</f>
        <v>09:00</v>
      </c>
      <c r="F23" s="23"/>
      <c r="G23" s="23"/>
      <c r="H23" s="19" t="str">
        <f>IF('2-1.근무유형'!H22="","",'2-1.근무유형'!H22)</f>
        <v>18:00</v>
      </c>
      <c r="I23" s="23"/>
      <c r="J23" s="23"/>
      <c r="K23" s="24"/>
    </row>
    <row r="24" spans="2:11" ht="18.75" customHeight="1">
      <c r="B24" s="19">
        <v>17</v>
      </c>
      <c r="C24" s="25" t="str">
        <f>IF(OR('2-1.근무유형'!E23="",LEFT('2-1.근무유형'!E23,1)="("),"",'2-1.근무유형'!E23)</f>
        <v>E(10:00-19:00)</v>
      </c>
      <c r="D24" s="19" t="str">
        <f>IF(OR('2-1.근무유형'!G23="",'2-1.근무유형'!H23=""),"",'2-1.근무유형'!G23&amp;"-"&amp;'2-1.근무유형'!H23)</f>
        <v>10:00-19:00</v>
      </c>
      <c r="E24" s="19" t="str">
        <f>IF('2-1.근무유형'!G23="","",'2-1.근무유형'!G23)</f>
        <v>10:00</v>
      </c>
      <c r="F24" s="23"/>
      <c r="G24" s="23"/>
      <c r="H24" s="19" t="str">
        <f>IF('2-1.근무유형'!H23="","",'2-1.근무유형'!H23)</f>
        <v>19:00</v>
      </c>
      <c r="I24" s="23"/>
      <c r="J24" s="23"/>
      <c r="K24" s="24"/>
    </row>
    <row r="25" spans="2:11" ht="18.75" customHeight="1">
      <c r="B25" s="19">
        <v>18</v>
      </c>
      <c r="C25" s="25" t="str">
        <f>IF(OR('2-1.근무유형'!E24="",LEFT('2-1.근무유형'!E24,1)="("),"",'2-1.근무유형'!E24)</f>
        <v>F(11:00-20:00)</v>
      </c>
      <c r="D25" s="19" t="str">
        <f>IF(OR('2-1.근무유형'!G24="",'2-1.근무유형'!H24=""),"",'2-1.근무유형'!G24&amp;"-"&amp;'2-1.근무유형'!H24)</f>
        <v>11:00-20:00</v>
      </c>
      <c r="E25" s="19" t="str">
        <f>IF('2-1.근무유형'!G24="","",'2-1.근무유형'!G24)</f>
        <v>11:00</v>
      </c>
      <c r="F25" s="23"/>
      <c r="G25" s="23"/>
      <c r="H25" s="19" t="str">
        <f>IF('2-1.근무유형'!H24="","",'2-1.근무유형'!H24)</f>
        <v>20:00</v>
      </c>
      <c r="I25" s="23"/>
      <c r="J25" s="23"/>
      <c r="K25" s="24"/>
    </row>
    <row r="26" spans="2:11" ht="18.75" customHeight="1">
      <c r="B26" s="19">
        <v>19</v>
      </c>
      <c r="C26" s="25" t="str">
        <f>IF(OR('2-1.근무유형'!E25="",LEFT('2-1.근무유형'!E25,1)="("),"",'2-1.근무유형'!E25)</f>
        <v>G(12:00-21:00)</v>
      </c>
      <c r="D26" s="19" t="str">
        <f>IF(OR('2-1.근무유형'!G25="",'2-1.근무유형'!H25=""),"",'2-1.근무유형'!G25&amp;"-"&amp;'2-1.근무유형'!H25)</f>
        <v>12:00-21:00</v>
      </c>
      <c r="E26" s="19" t="str">
        <f>IF('2-1.근무유형'!G25="","",'2-1.근무유형'!G25)</f>
        <v>12:00</v>
      </c>
      <c r="F26" s="23"/>
      <c r="G26" s="23"/>
      <c r="H26" s="19" t="str">
        <f>IF('2-1.근무유형'!H25="","",'2-1.근무유형'!H25)</f>
        <v>21:00</v>
      </c>
      <c r="I26" s="23"/>
      <c r="J26" s="23"/>
      <c r="K26" s="24"/>
    </row>
    <row r="27" spans="2:11" ht="18.75" customHeight="1">
      <c r="B27" s="19">
        <v>20</v>
      </c>
      <c r="C27" s="25" t="str">
        <f>IF(OR('2-1.근무유형'!E26="",LEFT('2-1.근무유형'!E26,1)="("),"",'2-1.근무유형'!E26)</f>
        <v>H(13:00-22:00)</v>
      </c>
      <c r="D27" s="19" t="str">
        <f>IF(OR('2-1.근무유형'!G26="",'2-1.근무유형'!H26=""),"",'2-1.근무유형'!G26&amp;"-"&amp;'2-1.근무유형'!H26)</f>
        <v>13:00-22:00</v>
      </c>
      <c r="E27" s="19" t="str">
        <f>IF('2-1.근무유형'!G26="","",'2-1.근무유형'!G26)</f>
        <v>13:00</v>
      </c>
      <c r="F27" s="23"/>
      <c r="G27" s="23"/>
      <c r="H27" s="19" t="str">
        <f>IF('2-1.근무유형'!H26="","",'2-1.근무유형'!H26)</f>
        <v>22:00</v>
      </c>
      <c r="I27" s="23"/>
      <c r="J27" s="23"/>
      <c r="K27" s="24"/>
    </row>
    <row r="28" spans="2:11" ht="18.75" customHeight="1">
      <c r="B28" s="19">
        <v>21</v>
      </c>
      <c r="C28" s="25" t="str">
        <f>IF(OR('2-1.근무유형'!E27="",LEFT('2-1.근무유형'!E27,1)="("),"",'2-1.근무유형'!E27)</f>
        <v>I(13:00-22:00)</v>
      </c>
      <c r="D28" s="19" t="str">
        <f>IF(OR('2-1.근무유형'!G27="",'2-1.근무유형'!H27=""),"",'2-1.근무유형'!G27&amp;"-"&amp;'2-1.근무유형'!H27)</f>
        <v>13:00-22:00</v>
      </c>
      <c r="E28" s="19" t="str">
        <f>IF('2-1.근무유형'!G27="","",'2-1.근무유형'!G27)</f>
        <v>13:00</v>
      </c>
      <c r="F28" s="23"/>
      <c r="G28" s="23"/>
      <c r="H28" s="19" t="str">
        <f>IF('2-1.근무유형'!H27="","",'2-1.근무유형'!H27)</f>
        <v>22:00</v>
      </c>
      <c r="I28" s="23"/>
      <c r="J28" s="23"/>
      <c r="K28" s="24"/>
    </row>
    <row r="29" spans="2:11" ht="18.75" customHeight="1">
      <c r="B29" s="19">
        <v>22</v>
      </c>
      <c r="C29" s="25" t="str">
        <f>IF(OR('2-1.근무유형'!E28="",LEFT('2-1.근무유형'!E28,1)="("),"",'2-1.근무유형'!E28)</f>
        <v>I(14:00-23:00)</v>
      </c>
      <c r="D29" s="19" t="str">
        <f>IF(OR('2-1.근무유형'!G28="",'2-1.근무유형'!H28=""),"",'2-1.근무유형'!G28&amp;"-"&amp;'2-1.근무유형'!H28)</f>
        <v>14:00-23:00</v>
      </c>
      <c r="E29" s="19" t="str">
        <f>IF('2-1.근무유형'!G28="","",'2-1.근무유형'!G28)</f>
        <v>14:00</v>
      </c>
      <c r="F29" s="23"/>
      <c r="G29" s="23"/>
      <c r="H29" s="19" t="str">
        <f>IF('2-1.근무유형'!H28="","",'2-1.근무유형'!H28)</f>
        <v>23:00</v>
      </c>
      <c r="I29" s="23"/>
      <c r="J29" s="23"/>
      <c r="K29" s="24"/>
    </row>
    <row r="30" spans="2:11" ht="18.75" customHeight="1">
      <c r="B30" s="19">
        <v>23</v>
      </c>
      <c r="C30" s="25" t="str">
        <f>IF(OR('2-1.근무유형'!E29="",LEFT('2-1.근무유형'!E29,1)="("),"",'2-1.근무유형'!E29)</f>
        <v>R(23:00-익일08:00)</v>
      </c>
      <c r="D30" s="19" t="str">
        <f>IF(OR('2-1.근무유형'!G29="",'2-1.근무유형'!H29=""),"",'2-1.근무유형'!G29&amp;"-"&amp;'2-1.근무유형'!H29)</f>
        <v>23:00-08:00</v>
      </c>
      <c r="E30" s="19" t="str">
        <f>IF('2-1.근무유형'!G29="","",'2-1.근무유형'!G29)</f>
        <v>23:00</v>
      </c>
      <c r="F30" s="23"/>
      <c r="G30" s="23"/>
      <c r="H30" s="19" t="str">
        <f>IF('2-1.근무유형'!H29="","",'2-1.근무유형'!H29)</f>
        <v>08:00</v>
      </c>
      <c r="I30" s="23"/>
      <c r="J30" s="23"/>
      <c r="K30" s="24"/>
    </row>
    <row r="31" spans="2:11" ht="18.75" customHeight="1">
      <c r="B31" s="19">
        <v>24</v>
      </c>
      <c r="C31" s="25" t="str">
        <f>IF(OR('2-1.근무유형'!E30="",LEFT('2-1.근무유형'!E30,1)="("),"",'2-1.근무유형'!E30)</f>
        <v>야(13:00-익일09:00)</v>
      </c>
      <c r="D31" s="19" t="str">
        <f>IF(OR('2-1.근무유형'!G30="",'2-1.근무유형'!H30=""),"",'2-1.근무유형'!G30&amp;"-"&amp;'2-1.근무유형'!H30)</f>
        <v>13:00-09:00</v>
      </c>
      <c r="E31" s="19" t="str">
        <f>IF('2-1.근무유형'!G30="","",'2-1.근무유형'!G30)</f>
        <v>13:00</v>
      </c>
      <c r="F31" s="23"/>
      <c r="G31" s="23"/>
      <c r="H31" s="19" t="str">
        <f>IF('2-1.근무유형'!H30="","",'2-1.근무유형'!H30)</f>
        <v>09:00</v>
      </c>
      <c r="I31" s="23"/>
      <c r="J31" s="23"/>
      <c r="K31" s="24"/>
    </row>
    <row r="32" spans="2:11" ht="18.75" customHeight="1">
      <c r="B32" s="19">
        <v>25</v>
      </c>
      <c r="C32" s="25" t="str">
        <f>IF(OR('2-1.근무유형'!E31="",LEFT('2-1.근무유형'!E31,1)="("),"",'2-1.근무유형'!E31)</f>
        <v>비(비번)</v>
      </c>
      <c r="D32" s="19" t="str">
        <f>IF(OR('2-1.근무유형'!G31="",'2-1.근무유형'!H31=""),"",'2-1.근무유형'!G31&amp;"-"&amp;'2-1.근무유형'!H31)</f>
        <v/>
      </c>
      <c r="E32" s="19" t="str">
        <f>IF('2-1.근무유형'!G31="","",'2-1.근무유형'!G31)</f>
        <v/>
      </c>
      <c r="F32" s="23"/>
      <c r="G32" s="23"/>
      <c r="H32" s="19" t="str">
        <f>IF('2-1.근무유형'!H31="","",'2-1.근무유형'!H31)</f>
        <v/>
      </c>
      <c r="I32" s="23"/>
      <c r="J32" s="23"/>
      <c r="K32" s="24"/>
    </row>
    <row r="33" spans="2:11" ht="18.75" customHeight="1">
      <c r="B33" s="19">
        <v>26</v>
      </c>
      <c r="C33" s="25" t="str">
        <f>IF(OR('2-1.근무유형'!E32="",LEFT('2-1.근무유형'!E32,1)="("),"",'2-1.근무유형'!E32)</f>
        <v>휴일</v>
      </c>
      <c r="D33" s="19" t="str">
        <f>IF(OR('2-1.근무유형'!G32="",'2-1.근무유형'!H32=""),"",'2-1.근무유형'!G32&amp;"-"&amp;'2-1.근무유형'!H32)</f>
        <v/>
      </c>
      <c r="E33" s="19" t="str">
        <f>IF('2-1.근무유형'!G32="","",'2-1.근무유형'!G32)</f>
        <v/>
      </c>
      <c r="F33" s="23"/>
      <c r="G33" s="23"/>
      <c r="H33" s="19" t="str">
        <f>IF('2-1.근무유형'!H32="","",'2-1.근무유형'!H32)</f>
        <v/>
      </c>
      <c r="I33" s="23"/>
      <c r="J33" s="23"/>
      <c r="K33" s="24"/>
    </row>
    <row r="34" spans="2:11" ht="18.75" customHeight="1">
      <c r="B34" s="19">
        <v>27</v>
      </c>
      <c r="C34" s="25" t="str">
        <f>IF(OR('2-1.근무유형'!E33="",LEFT('2-1.근무유형'!E33,1)="("),"",'2-1.근무유형'!E33)</f>
        <v>휴무</v>
      </c>
      <c r="D34" s="19" t="str">
        <f>IF(OR('2-1.근무유형'!G33="",'2-1.근무유형'!H33=""),"",'2-1.근무유형'!G33&amp;"-"&amp;'2-1.근무유형'!H33)</f>
        <v/>
      </c>
      <c r="E34" s="19" t="str">
        <f>IF('2-1.근무유형'!G33="","",'2-1.근무유형'!G33)</f>
        <v/>
      </c>
      <c r="F34" s="23"/>
      <c r="G34" s="23"/>
      <c r="H34" s="19" t="str">
        <f>IF('2-1.근무유형'!H33="","",'2-1.근무유형'!H33)</f>
        <v/>
      </c>
      <c r="I34" s="23"/>
      <c r="J34" s="23"/>
      <c r="K34" s="24"/>
    </row>
    <row r="35" spans="2:11" ht="18.75" customHeight="1">
      <c r="B35" s="19">
        <v>28</v>
      </c>
      <c r="C35" s="25" t="str">
        <f>IF(OR('2-1.근무유형'!E34="",LEFT('2-1.근무유형'!E34,1)="("),"",'2-1.근무유형'!E34)</f>
        <v/>
      </c>
      <c r="D35" s="19" t="str">
        <f>IF(OR('2-1.근무유형'!G34="",'2-1.근무유형'!H34=""),"",'2-1.근무유형'!G34&amp;"-"&amp;'2-1.근무유형'!H34)</f>
        <v/>
      </c>
      <c r="E35" s="19" t="str">
        <f>IF('2-1.근무유형'!G34="","",'2-1.근무유형'!G34)</f>
        <v/>
      </c>
      <c r="F35" s="23"/>
      <c r="G35" s="23"/>
      <c r="H35" s="19" t="str">
        <f>IF('2-1.근무유형'!H34="","",'2-1.근무유형'!H34)</f>
        <v/>
      </c>
      <c r="I35" s="23"/>
      <c r="J35" s="23"/>
      <c r="K35" s="24"/>
    </row>
    <row r="36" spans="2:11" ht="18.75" customHeight="1">
      <c r="B36" s="19">
        <v>29</v>
      </c>
      <c r="C36" s="25" t="str">
        <f>IF(OR('2-1.근무유형'!E35="",LEFT('2-1.근무유형'!E35,1)="("),"",'2-1.근무유형'!E35)</f>
        <v/>
      </c>
      <c r="D36" s="19" t="str">
        <f>IF(OR('2-1.근무유형'!G35="",'2-1.근무유형'!H35=""),"",'2-1.근무유형'!G35&amp;"-"&amp;'2-1.근무유형'!H35)</f>
        <v/>
      </c>
      <c r="E36" s="19" t="str">
        <f>IF('2-1.근무유형'!G35="","",'2-1.근무유형'!G35)</f>
        <v/>
      </c>
      <c r="F36" s="23"/>
      <c r="G36" s="23"/>
      <c r="H36" s="19" t="str">
        <f>IF('2-1.근무유형'!H35="","",'2-1.근무유형'!H35)</f>
        <v/>
      </c>
      <c r="I36" s="23"/>
      <c r="J36" s="23"/>
      <c r="K36" s="24"/>
    </row>
    <row r="37" spans="2:11" ht="18.75" customHeight="1">
      <c r="B37" s="19">
        <v>30</v>
      </c>
      <c r="C37" s="25" t="str">
        <f>IF(OR('2-1.근무유형'!E36="",LEFT('2-1.근무유형'!E36,1)="("),"",'2-1.근무유형'!E36)</f>
        <v/>
      </c>
      <c r="D37" s="19" t="str">
        <f>IF(OR('2-1.근무유형'!G36="",'2-1.근무유형'!H36=""),"",'2-1.근무유형'!G36&amp;"-"&amp;'2-1.근무유형'!H36)</f>
        <v/>
      </c>
      <c r="E37" s="19" t="str">
        <f>IF('2-1.근무유형'!G36="","",'2-1.근무유형'!G36)</f>
        <v/>
      </c>
      <c r="F37" s="23"/>
      <c r="G37" s="23"/>
      <c r="H37" s="19" t="str">
        <f>IF('2-1.근무유형'!H36="","",'2-1.근무유형'!H36)</f>
        <v/>
      </c>
      <c r="I37" s="23"/>
      <c r="J37" s="23"/>
      <c r="K37" s="24"/>
    </row>
    <row r="38" spans="2:11" ht="18.75" customHeight="1">
      <c r="B38" s="19">
        <v>31</v>
      </c>
      <c r="C38" s="25" t="str">
        <f>IF(OR('2-1.근무유형'!E37="",LEFT('2-1.근무유형'!E37,1)="("),"",'2-1.근무유형'!E37)</f>
        <v/>
      </c>
      <c r="D38" s="19" t="str">
        <f>IF(OR('2-1.근무유형'!G37="",'2-1.근무유형'!H37=""),"",'2-1.근무유형'!G37&amp;"-"&amp;'2-1.근무유형'!H37)</f>
        <v/>
      </c>
      <c r="E38" s="19" t="str">
        <f>IF('2-1.근무유형'!G37="","",'2-1.근무유형'!G37)</f>
        <v/>
      </c>
      <c r="F38" s="23"/>
      <c r="G38" s="23"/>
      <c r="H38" s="19" t="str">
        <f>IF('2-1.근무유형'!H37="","",'2-1.근무유형'!H37)</f>
        <v/>
      </c>
      <c r="I38" s="23"/>
      <c r="J38" s="23"/>
      <c r="K38" s="24"/>
    </row>
    <row r="39" spans="2:11" ht="18.75" customHeight="1">
      <c r="B39" s="19">
        <v>32</v>
      </c>
      <c r="C39" s="25" t="str">
        <f>IF(OR('2-1.근무유형'!E38="",LEFT('2-1.근무유형'!E38,1)="("),"",'2-1.근무유형'!E38)</f>
        <v/>
      </c>
      <c r="D39" s="19" t="str">
        <f>IF(OR('2-1.근무유형'!G38="",'2-1.근무유형'!H38=""),"",'2-1.근무유형'!G38&amp;"-"&amp;'2-1.근무유형'!H38)</f>
        <v/>
      </c>
      <c r="E39" s="19" t="str">
        <f>IF('2-1.근무유형'!G38="","",'2-1.근무유형'!G38)</f>
        <v/>
      </c>
      <c r="F39" s="23"/>
      <c r="G39" s="23"/>
      <c r="H39" s="19" t="str">
        <f>IF('2-1.근무유형'!H38="","",'2-1.근무유형'!H38)</f>
        <v/>
      </c>
      <c r="I39" s="23"/>
      <c r="J39" s="23"/>
      <c r="K39" s="24"/>
    </row>
    <row r="40" spans="2:11" ht="18.75" customHeight="1">
      <c r="B40" s="19">
        <v>33</v>
      </c>
      <c r="C40" s="25" t="str">
        <f>IF(OR('2-1.근무유형'!E39="",LEFT('2-1.근무유형'!E39,1)="("),"",'2-1.근무유형'!E39)</f>
        <v/>
      </c>
      <c r="D40" s="19" t="str">
        <f>IF(OR('2-1.근무유형'!G39="",'2-1.근무유형'!H39=""),"",'2-1.근무유형'!G39&amp;"-"&amp;'2-1.근무유형'!H39)</f>
        <v/>
      </c>
      <c r="E40" s="19" t="str">
        <f>IF('2-1.근무유형'!G39="","",'2-1.근무유형'!G39)</f>
        <v/>
      </c>
      <c r="F40" s="23"/>
      <c r="G40" s="23"/>
      <c r="H40" s="19" t="str">
        <f>IF('2-1.근무유형'!H39="","",'2-1.근무유형'!H39)</f>
        <v/>
      </c>
      <c r="I40" s="23"/>
      <c r="J40" s="23"/>
      <c r="K40" s="24"/>
    </row>
    <row r="41" spans="2:11" ht="18.75" customHeight="1">
      <c r="B41" s="19">
        <v>34</v>
      </c>
      <c r="C41" s="25" t="str">
        <f>IF(OR('2-1.근무유형'!E40="",LEFT('2-1.근무유형'!E40,1)="("),"",'2-1.근무유형'!E40)</f>
        <v/>
      </c>
      <c r="D41" s="19" t="str">
        <f>IF(OR('2-1.근무유형'!G40="",'2-1.근무유형'!H40=""),"",'2-1.근무유형'!G40&amp;"-"&amp;'2-1.근무유형'!H40)</f>
        <v/>
      </c>
      <c r="E41" s="19" t="str">
        <f>IF('2-1.근무유형'!G40="","",'2-1.근무유형'!G40)</f>
        <v/>
      </c>
      <c r="F41" s="23"/>
      <c r="G41" s="23"/>
      <c r="H41" s="19" t="str">
        <f>IF('2-1.근무유형'!H40="","",'2-1.근무유형'!H40)</f>
        <v/>
      </c>
      <c r="I41" s="23"/>
      <c r="J41" s="23"/>
      <c r="K41" s="24"/>
    </row>
    <row r="42" spans="2:11" ht="18.75" customHeight="1">
      <c r="B42" s="19">
        <v>35</v>
      </c>
      <c r="C42" s="25" t="str">
        <f>IF(OR('2-1.근무유형'!E41="",LEFT('2-1.근무유형'!E41,1)="("),"",'2-1.근무유형'!E41)</f>
        <v/>
      </c>
      <c r="D42" s="19" t="str">
        <f>IF(OR('2-1.근무유형'!G41="",'2-1.근무유형'!H41=""),"",'2-1.근무유형'!G41&amp;"-"&amp;'2-1.근무유형'!H41)</f>
        <v/>
      </c>
      <c r="E42" s="19" t="str">
        <f>IF('2-1.근무유형'!G41="","",'2-1.근무유형'!G41)</f>
        <v/>
      </c>
      <c r="F42" s="23"/>
      <c r="G42" s="23"/>
      <c r="H42" s="19" t="str">
        <f>IF('2-1.근무유형'!H41="","",'2-1.근무유형'!H41)</f>
        <v/>
      </c>
      <c r="I42" s="23"/>
      <c r="J42" s="23"/>
      <c r="K42" s="24"/>
    </row>
    <row r="43" spans="2:11" ht="18.75" customHeight="1">
      <c r="B43" s="19">
        <v>36</v>
      </c>
      <c r="C43" s="25" t="str">
        <f>IF(OR('2-1.근무유형'!E42="",LEFT('2-1.근무유형'!E42,1)="("),"",'2-1.근무유형'!E42)</f>
        <v/>
      </c>
      <c r="D43" s="19" t="str">
        <f>IF(OR('2-1.근무유형'!G42="",'2-1.근무유형'!H42=""),"",'2-1.근무유형'!G42&amp;"-"&amp;'2-1.근무유형'!H42)</f>
        <v/>
      </c>
      <c r="E43" s="19" t="str">
        <f>IF('2-1.근무유형'!G42="","",'2-1.근무유형'!G42)</f>
        <v/>
      </c>
      <c r="F43" s="23"/>
      <c r="G43" s="23"/>
      <c r="H43" s="19" t="str">
        <f>IF('2-1.근무유형'!H42="","",'2-1.근무유형'!H42)</f>
        <v/>
      </c>
      <c r="I43" s="23"/>
      <c r="J43" s="23"/>
      <c r="K43" s="24"/>
    </row>
    <row r="44" spans="2:11" ht="18.75" customHeight="1">
      <c r="B44" s="19">
        <v>37</v>
      </c>
      <c r="C44" s="25" t="str">
        <f>IF(OR('2-1.근무유형'!E43="",LEFT('2-1.근무유형'!E43,1)="("),"",'2-1.근무유형'!E43)</f>
        <v/>
      </c>
      <c r="D44" s="19" t="str">
        <f>IF(OR('2-1.근무유형'!G43="",'2-1.근무유형'!H43=""),"",'2-1.근무유형'!G43&amp;"-"&amp;'2-1.근무유형'!H43)</f>
        <v/>
      </c>
      <c r="E44" s="19" t="str">
        <f>IF('2-1.근무유형'!G43="","",'2-1.근무유형'!G43)</f>
        <v/>
      </c>
      <c r="F44" s="23"/>
      <c r="G44" s="23"/>
      <c r="H44" s="19" t="str">
        <f>IF('2-1.근무유형'!H43="","",'2-1.근무유형'!H43)</f>
        <v/>
      </c>
      <c r="I44" s="23"/>
      <c r="J44" s="23"/>
      <c r="K44" s="24"/>
    </row>
    <row r="45" spans="2:11" ht="18.75" customHeight="1">
      <c r="B45" s="19">
        <v>38</v>
      </c>
      <c r="C45" s="25" t="str">
        <f>IF(OR('2-1.근무유형'!E44="",LEFT('2-1.근무유형'!E44,1)="("),"",'2-1.근무유형'!E44)</f>
        <v/>
      </c>
      <c r="D45" s="19" t="str">
        <f>IF(OR('2-1.근무유형'!G44="",'2-1.근무유형'!H44=""),"",'2-1.근무유형'!G44&amp;"-"&amp;'2-1.근무유형'!H44)</f>
        <v/>
      </c>
      <c r="E45" s="19" t="str">
        <f>IF('2-1.근무유형'!G44="","",'2-1.근무유형'!G44)</f>
        <v/>
      </c>
      <c r="F45" s="23"/>
      <c r="G45" s="23"/>
      <c r="H45" s="19" t="str">
        <f>IF('2-1.근무유형'!H44="","",'2-1.근무유형'!H44)</f>
        <v/>
      </c>
      <c r="I45" s="23"/>
      <c r="J45" s="23"/>
      <c r="K45" s="24"/>
    </row>
    <row r="46" spans="2:11" ht="18.75" customHeight="1">
      <c r="B46" s="19">
        <v>39</v>
      </c>
      <c r="C46" s="25" t="str">
        <f>IF(OR('2-1.근무유형'!E45="",LEFT('2-1.근무유형'!E45,1)="("),"",'2-1.근무유형'!E45)</f>
        <v/>
      </c>
      <c r="D46" s="19" t="str">
        <f>IF(OR('2-1.근무유형'!G45="",'2-1.근무유형'!H45=""),"",'2-1.근무유형'!G45&amp;"-"&amp;'2-1.근무유형'!H45)</f>
        <v/>
      </c>
      <c r="E46" s="19" t="str">
        <f>IF('2-1.근무유형'!G45="","",'2-1.근무유형'!G45)</f>
        <v/>
      </c>
      <c r="F46" s="23"/>
      <c r="G46" s="23"/>
      <c r="H46" s="19" t="str">
        <f>IF('2-1.근무유형'!H45="","",'2-1.근무유형'!H45)</f>
        <v/>
      </c>
      <c r="I46" s="23"/>
      <c r="J46" s="23"/>
      <c r="K46" s="24"/>
    </row>
    <row r="47" spans="2:11" ht="18.75" customHeight="1">
      <c r="B47" s="19">
        <v>40</v>
      </c>
      <c r="C47" s="25" t="str">
        <f>IF(OR('2-1.근무유형'!E46="",LEFT('2-1.근무유형'!E46,1)="("),"",'2-1.근무유형'!E46)</f>
        <v/>
      </c>
      <c r="D47" s="19" t="str">
        <f>IF(OR('2-1.근무유형'!G46="",'2-1.근무유형'!H46=""),"",'2-1.근무유형'!G46&amp;"-"&amp;'2-1.근무유형'!H46)</f>
        <v/>
      </c>
      <c r="E47" s="19" t="str">
        <f>IF('2-1.근무유형'!G46="","",'2-1.근무유형'!G46)</f>
        <v/>
      </c>
      <c r="F47" s="23"/>
      <c r="G47" s="23"/>
      <c r="H47" s="19" t="str">
        <f>IF('2-1.근무유형'!H46="","",'2-1.근무유형'!H46)</f>
        <v/>
      </c>
      <c r="I47" s="23"/>
      <c r="J47" s="23"/>
      <c r="K47" s="24"/>
    </row>
  </sheetData>
  <mergeCells count="9">
    <mergeCell ref="B2:K2"/>
    <mergeCell ref="B4:K4"/>
    <mergeCell ref="B6:B7"/>
    <mergeCell ref="C6:C7"/>
    <mergeCell ref="D6:D7"/>
    <mergeCell ref="E6:G6"/>
    <mergeCell ref="H6:I6"/>
    <mergeCell ref="J6:J7"/>
    <mergeCell ref="K6:K7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8"/>
  <sheetViews>
    <sheetView showGridLines="0" topLeftCell="A4" zoomScaleNormal="100" workbookViewId="0">
      <selection activeCell="G30" sqref="G30"/>
    </sheetView>
  </sheetViews>
  <sheetFormatPr defaultColWidth="8.6640625" defaultRowHeight="14.4"/>
  <cols>
    <col min="1" max="1" width="2.21875" customWidth="1"/>
    <col min="2" max="2" width="5" customWidth="1"/>
    <col min="3" max="3" width="9" customWidth="1"/>
    <col min="4" max="4" width="28.5546875" customWidth="1"/>
    <col min="5" max="5" width="13.6640625" customWidth="1"/>
    <col min="6" max="6" width="10" customWidth="1"/>
    <col min="7" max="7" width="11" customWidth="1"/>
    <col min="8" max="8" width="22" customWidth="1"/>
    <col min="9" max="9" width="49.109375" customWidth="1"/>
  </cols>
  <sheetData>
    <row r="2" spans="2:9" ht="25.5" customHeight="1">
      <c r="B2" s="8" t="s">
        <v>165</v>
      </c>
      <c r="C2" s="8"/>
      <c r="D2" s="8"/>
      <c r="E2" s="8"/>
      <c r="F2" s="8"/>
      <c r="G2" s="8"/>
      <c r="H2" s="8"/>
      <c r="I2" s="8"/>
    </row>
    <row r="4" spans="2:9" ht="61.5" customHeight="1">
      <c r="B4" s="5" t="s">
        <v>166</v>
      </c>
      <c r="C4" s="5"/>
      <c r="D4" s="5"/>
      <c r="E4" s="5"/>
      <c r="F4" s="5"/>
      <c r="G4" s="5"/>
      <c r="H4" s="5"/>
      <c r="I4" s="5"/>
    </row>
    <row r="6" spans="2:9" ht="19.5" customHeight="1">
      <c r="B6" s="2" t="s">
        <v>167</v>
      </c>
      <c r="C6" s="2"/>
      <c r="D6" s="2"/>
      <c r="E6" s="2"/>
      <c r="F6" s="2"/>
      <c r="G6" s="2"/>
      <c r="H6" s="2"/>
      <c r="I6" s="2"/>
    </row>
    <row r="7" spans="2:9" ht="45.75" customHeight="1">
      <c r="B7" s="5" t="s">
        <v>168</v>
      </c>
      <c r="C7" s="5"/>
      <c r="D7" s="5"/>
      <c r="E7" s="5"/>
      <c r="F7" s="5"/>
      <c r="G7" s="5"/>
      <c r="H7" s="5"/>
      <c r="I7" s="5"/>
    </row>
    <row r="8" spans="2:9" ht="31.5" customHeight="1">
      <c r="B8" s="17" t="s">
        <v>35</v>
      </c>
      <c r="C8" s="18" t="s">
        <v>81</v>
      </c>
      <c r="D8" s="18" t="s">
        <v>169</v>
      </c>
      <c r="E8" s="18" t="s">
        <v>170</v>
      </c>
      <c r="F8" s="18" t="s">
        <v>171</v>
      </c>
      <c r="G8" s="18" t="s">
        <v>172</v>
      </c>
      <c r="H8" s="18" t="s">
        <v>173</v>
      </c>
      <c r="I8" s="18" t="s">
        <v>91</v>
      </c>
    </row>
    <row r="9" spans="2:9" ht="18.75" customHeight="1">
      <c r="B9" s="19">
        <v>1</v>
      </c>
      <c r="C9" s="21" t="s">
        <v>49</v>
      </c>
      <c r="D9" s="14" t="s">
        <v>174</v>
      </c>
      <c r="E9" s="19">
        <v>8</v>
      </c>
      <c r="F9" s="19">
        <v>40</v>
      </c>
      <c r="G9" s="23">
        <v>12</v>
      </c>
      <c r="H9" s="26" t="s">
        <v>175</v>
      </c>
      <c r="I9" s="24"/>
    </row>
    <row r="10" spans="2:9" ht="18.75" customHeight="1">
      <c r="B10" s="19">
        <v>2</v>
      </c>
      <c r="C10" s="21" t="s">
        <v>49</v>
      </c>
      <c r="D10" s="14" t="s">
        <v>176</v>
      </c>
      <c r="E10" s="19">
        <v>6</v>
      </c>
      <c r="F10" s="19">
        <v>30</v>
      </c>
      <c r="G10" s="23">
        <v>0</v>
      </c>
      <c r="H10" s="26" t="s">
        <v>177</v>
      </c>
      <c r="I10" s="24"/>
    </row>
    <row r="11" spans="2:9" ht="18.75" customHeight="1">
      <c r="B11" s="19">
        <v>3</v>
      </c>
      <c r="C11" s="21" t="s">
        <v>49</v>
      </c>
      <c r="D11" s="14" t="s">
        <v>178</v>
      </c>
      <c r="E11" s="19">
        <v>7</v>
      </c>
      <c r="F11" s="19">
        <v>35</v>
      </c>
      <c r="G11" s="23">
        <v>0</v>
      </c>
      <c r="H11" s="26" t="s">
        <v>177</v>
      </c>
      <c r="I11" s="24"/>
    </row>
    <row r="12" spans="2:9" ht="18.75" customHeight="1">
      <c r="B12" s="19">
        <v>4</v>
      </c>
      <c r="C12" s="21" t="s">
        <v>49</v>
      </c>
      <c r="D12" s="14" t="s">
        <v>179</v>
      </c>
      <c r="E12" s="19">
        <v>6</v>
      </c>
      <c r="F12" s="19">
        <v>30</v>
      </c>
      <c r="G12" s="23">
        <v>0</v>
      </c>
      <c r="H12" s="26" t="s">
        <v>177</v>
      </c>
      <c r="I12" s="24"/>
    </row>
    <row r="13" spans="2:9" ht="18.75" customHeight="1">
      <c r="B13" s="19">
        <v>5</v>
      </c>
      <c r="C13" s="21" t="s">
        <v>49</v>
      </c>
      <c r="D13" s="14" t="s">
        <v>180</v>
      </c>
      <c r="E13" s="19">
        <v>5</v>
      </c>
      <c r="F13" s="19">
        <v>25</v>
      </c>
      <c r="G13" s="23">
        <v>0</v>
      </c>
      <c r="H13" s="26" t="s">
        <v>177</v>
      </c>
      <c r="I13" s="24"/>
    </row>
    <row r="14" spans="2:9" ht="18.75" customHeight="1">
      <c r="B14" s="19">
        <v>6</v>
      </c>
      <c r="C14" s="21" t="s">
        <v>53</v>
      </c>
      <c r="D14" s="24" t="s">
        <v>181</v>
      </c>
      <c r="E14" s="23"/>
      <c r="F14" s="23"/>
      <c r="G14" s="23"/>
      <c r="H14" s="23"/>
      <c r="I14" s="23"/>
    </row>
    <row r="15" spans="2:9" ht="18.75" customHeight="1">
      <c r="B15" s="19">
        <v>7</v>
      </c>
      <c r="C15" s="21" t="s">
        <v>53</v>
      </c>
      <c r="D15" s="24" t="s">
        <v>181</v>
      </c>
      <c r="E15" s="23"/>
      <c r="F15" s="23"/>
      <c r="G15" s="23"/>
      <c r="H15" s="23"/>
      <c r="I15" s="23"/>
    </row>
    <row r="16" spans="2:9" ht="18.75" customHeight="1">
      <c r="B16" s="19">
        <v>8</v>
      </c>
      <c r="C16" s="21" t="s">
        <v>53</v>
      </c>
      <c r="D16" s="24" t="s">
        <v>181</v>
      </c>
      <c r="E16" s="23"/>
      <c r="F16" s="23"/>
      <c r="G16" s="23"/>
      <c r="H16" s="23"/>
      <c r="I16" s="23"/>
    </row>
    <row r="17" spans="2:9" ht="18.75" customHeight="1">
      <c r="B17" s="19">
        <v>9</v>
      </c>
      <c r="C17" s="21" t="s">
        <v>53</v>
      </c>
      <c r="D17" s="24" t="s">
        <v>181</v>
      </c>
      <c r="E17" s="23"/>
      <c r="F17" s="23"/>
      <c r="G17" s="23"/>
      <c r="H17" s="23"/>
      <c r="I17" s="23"/>
    </row>
    <row r="18" spans="2:9" ht="18.75" customHeight="1">
      <c r="B18" s="19">
        <v>10</v>
      </c>
      <c r="C18" s="21" t="s">
        <v>53</v>
      </c>
      <c r="D18" s="24" t="s">
        <v>181</v>
      </c>
      <c r="E18" s="23"/>
      <c r="F18" s="23"/>
      <c r="G18" s="23"/>
      <c r="H18" s="23"/>
      <c r="I18" s="23"/>
    </row>
    <row r="20" spans="2:9" ht="19.5" customHeight="1">
      <c r="B20" s="2" t="s">
        <v>182</v>
      </c>
      <c r="C20" s="2"/>
      <c r="D20" s="2"/>
      <c r="E20" s="2"/>
      <c r="F20" s="2"/>
      <c r="G20" s="2"/>
      <c r="H20" s="2"/>
      <c r="I20" s="2"/>
    </row>
    <row r="21" spans="2:9" ht="45.75" customHeight="1">
      <c r="B21" s="5" t="s">
        <v>183</v>
      </c>
      <c r="C21" s="5"/>
      <c r="D21" s="5"/>
      <c r="E21" s="5"/>
      <c r="F21" s="5"/>
      <c r="G21" s="5"/>
      <c r="H21" s="5"/>
      <c r="I21" s="5"/>
    </row>
    <row r="22" spans="2:9" ht="31.5" customHeight="1">
      <c r="B22" s="17" t="s">
        <v>35</v>
      </c>
      <c r="C22" s="18" t="s">
        <v>81</v>
      </c>
      <c r="D22" s="18" t="s">
        <v>184</v>
      </c>
      <c r="E22" s="18" t="s">
        <v>185</v>
      </c>
      <c r="F22" s="18" t="s">
        <v>186</v>
      </c>
      <c r="G22" s="18" t="s">
        <v>187</v>
      </c>
      <c r="H22" s="18" t="s">
        <v>188</v>
      </c>
      <c r="I22" s="18" t="s">
        <v>189</v>
      </c>
    </row>
    <row r="23" spans="2:9" ht="18.75" customHeight="1">
      <c r="B23" s="19">
        <v>1</v>
      </c>
      <c r="C23" s="21" t="s">
        <v>53</v>
      </c>
      <c r="D23" s="14" t="s">
        <v>233</v>
      </c>
      <c r="E23" s="19">
        <v>2</v>
      </c>
      <c r="F23" s="19">
        <v>0.25</v>
      </c>
      <c r="G23" s="20" t="s">
        <v>232</v>
      </c>
      <c r="H23" s="19" t="s">
        <v>234</v>
      </c>
      <c r="I23" s="24"/>
    </row>
    <row r="24" spans="2:9" ht="18.75" customHeight="1">
      <c r="B24" s="19">
        <v>2</v>
      </c>
      <c r="C24" s="21" t="s">
        <v>53</v>
      </c>
      <c r="D24" s="23"/>
      <c r="E24" s="23"/>
      <c r="F24" s="23"/>
      <c r="G24" s="23"/>
      <c r="H24" s="23"/>
      <c r="I24" s="24"/>
    </row>
    <row r="25" spans="2:9" ht="18.75" customHeight="1">
      <c r="B25" s="19">
        <v>3</v>
      </c>
      <c r="C25" s="21" t="s">
        <v>53</v>
      </c>
      <c r="D25" s="23"/>
      <c r="E25" s="23"/>
      <c r="F25" s="23"/>
      <c r="G25" s="23"/>
      <c r="H25" s="23"/>
      <c r="I25" s="24"/>
    </row>
    <row r="26" spans="2:9" ht="18.75" customHeight="1">
      <c r="B26" s="19">
        <v>4</v>
      </c>
      <c r="C26" s="21" t="s">
        <v>53</v>
      </c>
      <c r="D26" s="23"/>
      <c r="E26" s="23"/>
      <c r="F26" s="23"/>
      <c r="G26" s="23"/>
      <c r="H26" s="23"/>
      <c r="I26" s="24"/>
    </row>
    <row r="27" spans="2:9" ht="18.75" customHeight="1">
      <c r="B27" s="19">
        <v>5</v>
      </c>
      <c r="C27" s="21" t="s">
        <v>53</v>
      </c>
      <c r="D27" s="23"/>
      <c r="E27" s="23"/>
      <c r="F27" s="23"/>
      <c r="G27" s="23"/>
      <c r="H27" s="23"/>
      <c r="I27" s="24"/>
    </row>
    <row r="28" spans="2:9" ht="18.75" customHeight="1">
      <c r="B28" s="19">
        <v>6</v>
      </c>
      <c r="C28" s="21" t="s">
        <v>53</v>
      </c>
      <c r="D28" s="23"/>
      <c r="E28" s="23"/>
      <c r="F28" s="23"/>
      <c r="G28" s="23"/>
      <c r="H28" s="23"/>
      <c r="I28" s="24"/>
    </row>
  </sheetData>
  <mergeCells count="6">
    <mergeCell ref="B21:I21"/>
    <mergeCell ref="B2:I2"/>
    <mergeCell ref="B4:I4"/>
    <mergeCell ref="B6:I6"/>
    <mergeCell ref="B7:I7"/>
    <mergeCell ref="B20:I20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6"/>
  <sheetViews>
    <sheetView showGridLines="0" zoomScaleNormal="100" workbookViewId="0">
      <selection activeCell="F29" sqref="F29"/>
    </sheetView>
  </sheetViews>
  <sheetFormatPr defaultColWidth="8.6640625" defaultRowHeight="14.4"/>
  <cols>
    <col min="1" max="1" width="2.21875" customWidth="1"/>
    <col min="2" max="2" width="5" customWidth="1"/>
    <col min="3" max="3" width="9" customWidth="1"/>
    <col min="4" max="4" width="40.77734375" customWidth="1"/>
    <col min="5" max="5" width="18" customWidth="1"/>
    <col min="6" max="6" width="52" customWidth="1"/>
    <col min="7" max="7" width="34" customWidth="1"/>
  </cols>
  <sheetData>
    <row r="2" spans="2:7" ht="25.5" customHeight="1">
      <c r="B2" s="8" t="s">
        <v>190</v>
      </c>
      <c r="C2" s="8"/>
      <c r="D2" s="8"/>
      <c r="E2" s="8"/>
      <c r="F2" s="8"/>
      <c r="G2" s="8"/>
    </row>
    <row r="4" spans="2:7" ht="78" customHeight="1">
      <c r="B4" s="5" t="s">
        <v>191</v>
      </c>
      <c r="C4" s="5"/>
      <c r="D4" s="5"/>
      <c r="E4" s="5"/>
      <c r="F4" s="5"/>
      <c r="G4" s="5"/>
    </row>
    <row r="6" spans="2:7" ht="31.5" customHeight="1">
      <c r="B6" s="17" t="s">
        <v>35</v>
      </c>
      <c r="C6" s="18" t="s">
        <v>81</v>
      </c>
      <c r="D6" s="18" t="s">
        <v>192</v>
      </c>
      <c r="E6" s="18" t="s">
        <v>193</v>
      </c>
      <c r="F6" s="18" t="s">
        <v>194</v>
      </c>
      <c r="G6" s="18" t="s">
        <v>153</v>
      </c>
    </row>
    <row r="7" spans="2:7" ht="21.75" customHeight="1">
      <c r="B7" s="19">
        <v>1</v>
      </c>
      <c r="C7" s="21" t="s">
        <v>49</v>
      </c>
      <c r="D7" s="14" t="s">
        <v>195</v>
      </c>
      <c r="E7" s="20" t="s">
        <v>196</v>
      </c>
      <c r="F7" s="24" t="s">
        <v>197</v>
      </c>
      <c r="G7" s="24"/>
    </row>
    <row r="8" spans="2:7" ht="21.75" customHeight="1">
      <c r="B8" s="19">
        <v>2</v>
      </c>
      <c r="C8" s="21" t="s">
        <v>49</v>
      </c>
      <c r="D8" s="14" t="s">
        <v>198</v>
      </c>
      <c r="E8" s="20" t="s">
        <v>196</v>
      </c>
      <c r="F8" s="24" t="s">
        <v>199</v>
      </c>
      <c r="G8" s="24"/>
    </row>
    <row r="9" spans="2:7" ht="21.75" customHeight="1">
      <c r="B9" s="19">
        <v>3</v>
      </c>
      <c r="C9" s="21" t="s">
        <v>49</v>
      </c>
      <c r="D9" s="14" t="s">
        <v>200</v>
      </c>
      <c r="E9" s="20" t="s">
        <v>196</v>
      </c>
      <c r="F9" s="24" t="s">
        <v>201</v>
      </c>
      <c r="G9" s="24"/>
    </row>
    <row r="10" spans="2:7" ht="21.75" customHeight="1">
      <c r="B10" s="19">
        <v>4</v>
      </c>
      <c r="C10" s="21" t="s">
        <v>49</v>
      </c>
      <c r="D10" s="14" t="s">
        <v>202</v>
      </c>
      <c r="E10" s="20" t="s">
        <v>196</v>
      </c>
      <c r="F10" s="24" t="s">
        <v>203</v>
      </c>
      <c r="G10" s="24"/>
    </row>
    <row r="11" spans="2:7" ht="21.75" customHeight="1">
      <c r="B11" s="19">
        <v>5</v>
      </c>
      <c r="C11" s="21" t="s">
        <v>49</v>
      </c>
      <c r="D11" s="14" t="s">
        <v>204</v>
      </c>
      <c r="E11" s="20" t="s">
        <v>196</v>
      </c>
      <c r="F11" s="13" t="s">
        <v>205</v>
      </c>
      <c r="G11" s="24"/>
    </row>
    <row r="12" spans="2:7" ht="21.75" customHeight="1">
      <c r="B12" s="19">
        <v>6</v>
      </c>
      <c r="C12" s="21" t="s">
        <v>53</v>
      </c>
      <c r="D12" s="24" t="s">
        <v>206</v>
      </c>
      <c r="E12" s="24"/>
      <c r="F12" s="24"/>
      <c r="G12" s="24"/>
    </row>
    <row r="13" spans="2:7" ht="21.75" customHeight="1">
      <c r="B13" s="19">
        <v>7</v>
      </c>
      <c r="C13" s="21" t="s">
        <v>53</v>
      </c>
      <c r="D13" s="24" t="s">
        <v>206</v>
      </c>
      <c r="E13" s="24"/>
      <c r="F13" s="24"/>
      <c r="G13" s="24"/>
    </row>
    <row r="14" spans="2:7" ht="21.75" customHeight="1">
      <c r="B14" s="19">
        <v>8</v>
      </c>
      <c r="C14" s="21" t="s">
        <v>53</v>
      </c>
      <c r="D14" s="24" t="s">
        <v>206</v>
      </c>
      <c r="E14" s="24"/>
      <c r="F14" s="24"/>
      <c r="G14" s="24"/>
    </row>
    <row r="15" spans="2:7" ht="21.75" customHeight="1">
      <c r="B15" s="19">
        <v>9</v>
      </c>
      <c r="C15" s="21" t="s">
        <v>53</v>
      </c>
      <c r="D15" s="24" t="s">
        <v>206</v>
      </c>
      <c r="E15" s="24"/>
      <c r="F15" s="24"/>
      <c r="G15" s="24"/>
    </row>
    <row r="16" spans="2:7" ht="21.75" customHeight="1">
      <c r="B16" s="19">
        <v>10</v>
      </c>
      <c r="C16" s="21" t="s">
        <v>53</v>
      </c>
      <c r="D16" s="24" t="s">
        <v>206</v>
      </c>
      <c r="E16" s="24"/>
      <c r="F16" s="24"/>
      <c r="G16" s="24"/>
    </row>
  </sheetData>
  <mergeCells count="2">
    <mergeCell ref="B2:G2"/>
    <mergeCell ref="B4:G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19"/>
  <sheetViews>
    <sheetView showGridLines="0" zoomScaleNormal="100" workbookViewId="0">
      <selection activeCell="M16" sqref="M16"/>
    </sheetView>
  </sheetViews>
  <sheetFormatPr defaultColWidth="8.6640625" defaultRowHeight="14.4"/>
  <cols>
    <col min="1" max="1" width="2.21875" customWidth="1"/>
    <col min="2" max="2" width="5" customWidth="1"/>
    <col min="3" max="3" width="9" customWidth="1"/>
    <col min="4" max="4" width="41.44140625" customWidth="1"/>
    <col min="5" max="10" width="16" customWidth="1"/>
    <col min="11" max="11" width="34" customWidth="1"/>
  </cols>
  <sheetData>
    <row r="2" spans="2:11" ht="25.5" customHeight="1">
      <c r="B2" s="8" t="s">
        <v>207</v>
      </c>
      <c r="C2" s="8"/>
      <c r="D2" s="8"/>
      <c r="E2" s="8"/>
      <c r="F2" s="8"/>
      <c r="G2" s="8"/>
      <c r="H2" s="8"/>
      <c r="I2" s="8"/>
      <c r="J2" s="8"/>
      <c r="K2" s="8"/>
    </row>
    <row r="4" spans="2:11" ht="78" customHeight="1">
      <c r="B4" s="5" t="s">
        <v>208</v>
      </c>
      <c r="C4" s="5"/>
      <c r="D4" s="5"/>
      <c r="E4" s="5"/>
      <c r="F4" s="5"/>
      <c r="G4" s="5"/>
      <c r="H4" s="5"/>
      <c r="I4" s="5"/>
      <c r="J4" s="5"/>
      <c r="K4" s="5"/>
    </row>
    <row r="6" spans="2:11" ht="31.5" customHeight="1">
      <c r="B6" s="17" t="s">
        <v>35</v>
      </c>
      <c r="C6" s="18" t="s">
        <v>81</v>
      </c>
      <c r="D6" s="18" t="s">
        <v>209</v>
      </c>
      <c r="E6" s="18" t="s">
        <v>210</v>
      </c>
      <c r="F6" s="18" t="s">
        <v>211</v>
      </c>
      <c r="G6" s="18" t="s">
        <v>212</v>
      </c>
      <c r="H6" s="18" t="s">
        <v>213</v>
      </c>
      <c r="I6" s="18" t="s">
        <v>214</v>
      </c>
      <c r="J6" s="18" t="s">
        <v>215</v>
      </c>
      <c r="K6" s="18" t="s">
        <v>189</v>
      </c>
    </row>
    <row r="7" spans="2:11" ht="18.75" customHeight="1">
      <c r="B7" s="19">
        <v>1</v>
      </c>
      <c r="C7" s="21" t="s">
        <v>49</v>
      </c>
      <c r="D7" s="14" t="s">
        <v>216</v>
      </c>
      <c r="E7" s="20" t="s">
        <v>46</v>
      </c>
      <c r="F7" s="20" t="s">
        <v>52</v>
      </c>
      <c r="G7" s="20" t="s">
        <v>55</v>
      </c>
      <c r="H7" s="20" t="s">
        <v>57</v>
      </c>
      <c r="I7" s="23"/>
      <c r="J7" s="23"/>
      <c r="K7" s="24"/>
    </row>
    <row r="8" spans="2:11" ht="18.75" customHeight="1">
      <c r="B8" s="19">
        <v>2</v>
      </c>
      <c r="C8" s="21" t="s">
        <v>49</v>
      </c>
      <c r="D8" s="14" t="s">
        <v>217</v>
      </c>
      <c r="E8" s="20" t="s">
        <v>59</v>
      </c>
      <c r="F8" s="23"/>
      <c r="G8" s="23"/>
      <c r="H8" s="23"/>
      <c r="I8" s="23"/>
      <c r="J8" s="23"/>
      <c r="K8" s="24"/>
    </row>
    <row r="9" spans="2:11" ht="18.75" customHeight="1">
      <c r="B9" s="19">
        <v>3</v>
      </c>
      <c r="C9" s="21" t="s">
        <v>49</v>
      </c>
      <c r="D9" s="14" t="s">
        <v>218</v>
      </c>
      <c r="E9" s="20" t="s">
        <v>61</v>
      </c>
      <c r="F9" s="20" t="s">
        <v>63</v>
      </c>
      <c r="G9" s="23"/>
      <c r="H9" s="23"/>
      <c r="I9" s="23"/>
      <c r="J9" s="23"/>
      <c r="K9" s="24"/>
    </row>
    <row r="10" spans="2:11" ht="18.75" customHeight="1">
      <c r="B10" s="19">
        <v>4</v>
      </c>
      <c r="C10" s="21" t="s">
        <v>49</v>
      </c>
      <c r="D10" s="14" t="s">
        <v>219</v>
      </c>
      <c r="E10" s="20" t="s">
        <v>65</v>
      </c>
      <c r="F10" s="20" t="s">
        <v>67</v>
      </c>
      <c r="G10" s="20" t="s">
        <v>69</v>
      </c>
      <c r="H10" s="20" t="s">
        <v>71</v>
      </c>
      <c r="I10" s="20" t="s">
        <v>73</v>
      </c>
      <c r="J10" s="23"/>
      <c r="K10" s="24"/>
    </row>
    <row r="11" spans="2:11" ht="18.75" customHeight="1">
      <c r="B11" s="19">
        <v>5</v>
      </c>
      <c r="C11" s="21" t="s">
        <v>49</v>
      </c>
      <c r="D11" s="14" t="s">
        <v>220</v>
      </c>
      <c r="E11" s="20" t="s">
        <v>77</v>
      </c>
      <c r="F11" s="20" t="s">
        <v>75</v>
      </c>
      <c r="G11" s="23"/>
      <c r="H11" s="23"/>
      <c r="I11" s="23"/>
      <c r="J11" s="23"/>
      <c r="K11" s="24"/>
    </row>
    <row r="12" spans="2:11" ht="18.75" customHeight="1">
      <c r="B12" s="19">
        <v>6</v>
      </c>
      <c r="C12" s="21" t="s">
        <v>49</v>
      </c>
      <c r="D12" s="14" t="s">
        <v>221</v>
      </c>
      <c r="E12" s="23"/>
      <c r="F12" s="23"/>
      <c r="G12" s="23"/>
      <c r="H12" s="23"/>
      <c r="I12" s="23"/>
      <c r="J12" s="23"/>
      <c r="K12" s="13" t="s">
        <v>222</v>
      </c>
    </row>
    <row r="13" spans="2:11" ht="18.75" customHeight="1">
      <c r="B13" s="19">
        <v>7</v>
      </c>
      <c r="C13" s="21" t="s">
        <v>53</v>
      </c>
      <c r="D13" s="24" t="s">
        <v>223</v>
      </c>
      <c r="E13" s="24"/>
      <c r="F13" s="24"/>
      <c r="G13" s="24"/>
      <c r="H13" s="24"/>
      <c r="I13" s="24"/>
      <c r="J13" s="24"/>
      <c r="K13" s="24"/>
    </row>
    <row r="14" spans="2:11" ht="18.75" customHeight="1">
      <c r="B14" s="19">
        <v>8</v>
      </c>
      <c r="C14" s="21" t="s">
        <v>53</v>
      </c>
      <c r="D14" s="24" t="s">
        <v>223</v>
      </c>
      <c r="E14" s="24"/>
      <c r="F14" s="24"/>
      <c r="G14" s="24"/>
      <c r="H14" s="24"/>
      <c r="I14" s="24"/>
      <c r="J14" s="24"/>
      <c r="K14" s="24"/>
    </row>
    <row r="15" spans="2:11" ht="18.75" customHeight="1">
      <c r="B15" s="19">
        <v>9</v>
      </c>
      <c r="C15" s="21" t="s">
        <v>53</v>
      </c>
      <c r="D15" s="24" t="s">
        <v>223</v>
      </c>
      <c r="E15" s="24"/>
      <c r="F15" s="24"/>
      <c r="G15" s="24"/>
      <c r="H15" s="24"/>
      <c r="I15" s="24"/>
      <c r="J15" s="24"/>
      <c r="K15" s="24"/>
    </row>
    <row r="16" spans="2:11" ht="18.75" customHeight="1">
      <c r="B16" s="19">
        <v>10</v>
      </c>
      <c r="C16" s="21" t="s">
        <v>53</v>
      </c>
      <c r="D16" s="24" t="s">
        <v>223</v>
      </c>
      <c r="E16" s="24"/>
      <c r="F16" s="24"/>
      <c r="G16" s="24"/>
      <c r="H16" s="24"/>
      <c r="I16" s="24"/>
      <c r="J16" s="24"/>
      <c r="K16" s="24"/>
    </row>
    <row r="17" spans="2:11" ht="18.75" customHeight="1">
      <c r="B17" s="19">
        <v>11</v>
      </c>
      <c r="C17" s="21" t="s">
        <v>53</v>
      </c>
      <c r="D17" s="24" t="s">
        <v>223</v>
      </c>
      <c r="E17" s="24"/>
      <c r="F17" s="24"/>
      <c r="G17" s="24"/>
      <c r="H17" s="24"/>
      <c r="I17" s="24"/>
      <c r="J17" s="24"/>
      <c r="K17" s="24"/>
    </row>
    <row r="18" spans="2:11" ht="18.75" customHeight="1">
      <c r="B18" s="19">
        <v>12</v>
      </c>
      <c r="C18" s="21" t="s">
        <v>53</v>
      </c>
      <c r="D18" s="24" t="s">
        <v>223</v>
      </c>
      <c r="E18" s="24"/>
      <c r="F18" s="24"/>
      <c r="G18" s="24"/>
      <c r="H18" s="24"/>
      <c r="I18" s="24"/>
      <c r="J18" s="24"/>
      <c r="K18" s="24"/>
    </row>
    <row r="19" spans="2:11" ht="18.75" customHeight="1">
      <c r="B19" s="19">
        <v>13</v>
      </c>
      <c r="C19" s="21" t="s">
        <v>53</v>
      </c>
      <c r="D19" s="24" t="s">
        <v>223</v>
      </c>
      <c r="E19" s="24"/>
      <c r="F19" s="24"/>
      <c r="G19" s="24"/>
      <c r="H19" s="24"/>
      <c r="I19" s="24"/>
      <c r="J19" s="24"/>
      <c r="K19" s="24"/>
    </row>
  </sheetData>
  <mergeCells count="2">
    <mergeCell ref="B2:K2"/>
    <mergeCell ref="B4:K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7"/>
  <sheetViews>
    <sheetView showGridLines="0" zoomScaleNormal="100" workbookViewId="0"/>
  </sheetViews>
  <sheetFormatPr defaultColWidth="8.6640625" defaultRowHeight="14.4"/>
  <cols>
    <col min="1" max="1" width="2.21875" customWidth="1"/>
    <col min="2" max="2" width="10" customWidth="1"/>
    <col min="3" max="3" width="22" customWidth="1"/>
    <col min="4" max="5" width="10" customWidth="1"/>
    <col min="6" max="6" width="14" customWidth="1"/>
    <col min="7" max="7" width="44" customWidth="1"/>
  </cols>
  <sheetData>
    <row r="2" spans="2:7" ht="25.5" customHeight="1">
      <c r="B2" s="1" t="s">
        <v>224</v>
      </c>
      <c r="C2" s="1"/>
      <c r="D2" s="1"/>
      <c r="E2" s="1"/>
      <c r="F2" s="1"/>
      <c r="G2" s="1"/>
    </row>
    <row r="3" spans="2:7"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225</v>
      </c>
    </row>
    <row r="4" spans="2:7" ht="18" customHeight="1">
      <c r="B4" s="27" t="s">
        <v>45</v>
      </c>
      <c r="C4" s="10" t="s">
        <v>46</v>
      </c>
      <c r="D4" s="27" t="s">
        <v>47</v>
      </c>
      <c r="E4" s="27" t="s">
        <v>48</v>
      </c>
      <c r="F4" s="28" t="s">
        <v>46</v>
      </c>
      <c r="G4" s="10" t="s">
        <v>226</v>
      </c>
    </row>
    <row r="5" spans="2:7" ht="18" customHeight="1">
      <c r="B5" s="27" t="s">
        <v>51</v>
      </c>
      <c r="C5" s="10" t="s">
        <v>52</v>
      </c>
      <c r="D5" s="27" t="s">
        <v>47</v>
      </c>
      <c r="E5" s="27" t="s">
        <v>48</v>
      </c>
      <c r="F5" s="28" t="s">
        <v>46</v>
      </c>
      <c r="G5" s="10" t="s">
        <v>226</v>
      </c>
    </row>
    <row r="6" spans="2:7" ht="18" customHeight="1">
      <c r="B6" s="27" t="s">
        <v>54</v>
      </c>
      <c r="C6" s="10" t="s">
        <v>55</v>
      </c>
      <c r="D6" s="27" t="s">
        <v>47</v>
      </c>
      <c r="E6" s="27" t="s">
        <v>48</v>
      </c>
      <c r="F6" s="28" t="s">
        <v>46</v>
      </c>
      <c r="G6" s="10" t="s">
        <v>226</v>
      </c>
    </row>
    <row r="7" spans="2:7" ht="18" customHeight="1">
      <c r="B7" s="27" t="s">
        <v>56</v>
      </c>
      <c r="C7" s="10" t="s">
        <v>57</v>
      </c>
      <c r="D7" s="27" t="s">
        <v>47</v>
      </c>
      <c r="E7" s="27" t="s">
        <v>48</v>
      </c>
      <c r="F7" s="28" t="s">
        <v>57</v>
      </c>
      <c r="G7" s="10" t="s">
        <v>226</v>
      </c>
    </row>
    <row r="8" spans="2:7" ht="18" customHeight="1">
      <c r="B8" s="27" t="s">
        <v>58</v>
      </c>
      <c r="C8" s="10" t="s">
        <v>59</v>
      </c>
      <c r="D8" s="27" t="s">
        <v>47</v>
      </c>
      <c r="E8" s="27" t="s">
        <v>48</v>
      </c>
      <c r="F8" s="27"/>
      <c r="G8" s="10" t="s">
        <v>227</v>
      </c>
    </row>
    <row r="9" spans="2:7" ht="18" customHeight="1">
      <c r="B9" s="27" t="s">
        <v>60</v>
      </c>
      <c r="C9" s="10" t="s">
        <v>61</v>
      </c>
      <c r="D9" s="27" t="s">
        <v>47</v>
      </c>
      <c r="E9" s="27" t="s">
        <v>48</v>
      </c>
      <c r="F9" s="27"/>
      <c r="G9" s="10" t="s">
        <v>218</v>
      </c>
    </row>
    <row r="10" spans="2:7" ht="18" customHeight="1">
      <c r="B10" s="27" t="s">
        <v>62</v>
      </c>
      <c r="C10" s="10" t="s">
        <v>63</v>
      </c>
      <c r="D10" s="27" t="s">
        <v>47</v>
      </c>
      <c r="E10" s="27" t="s">
        <v>48</v>
      </c>
      <c r="F10" s="27"/>
      <c r="G10" s="10" t="s">
        <v>228</v>
      </c>
    </row>
    <row r="11" spans="2:7" ht="18" customHeight="1">
      <c r="B11" s="27" t="s">
        <v>64</v>
      </c>
      <c r="C11" s="10" t="s">
        <v>65</v>
      </c>
      <c r="D11" s="27" t="s">
        <v>47</v>
      </c>
      <c r="E11" s="27" t="s">
        <v>48</v>
      </c>
      <c r="F11" s="27"/>
      <c r="G11" s="11"/>
    </row>
    <row r="12" spans="2:7" ht="18" customHeight="1">
      <c r="B12" s="27" t="s">
        <v>66</v>
      </c>
      <c r="C12" s="10" t="s">
        <v>67</v>
      </c>
      <c r="D12" s="27" t="s">
        <v>47</v>
      </c>
      <c r="E12" s="27" t="s">
        <v>48</v>
      </c>
      <c r="F12" s="27"/>
      <c r="G12" s="11"/>
    </row>
    <row r="13" spans="2:7" ht="18" customHeight="1">
      <c r="B13" s="27" t="s">
        <v>68</v>
      </c>
      <c r="C13" s="10" t="s">
        <v>69</v>
      </c>
      <c r="D13" s="27" t="s">
        <v>47</v>
      </c>
      <c r="E13" s="27" t="s">
        <v>48</v>
      </c>
      <c r="F13" s="27"/>
      <c r="G13" s="11"/>
    </row>
    <row r="14" spans="2:7" ht="18" customHeight="1">
      <c r="B14" s="27" t="s">
        <v>70</v>
      </c>
      <c r="C14" s="10" t="s">
        <v>71</v>
      </c>
      <c r="D14" s="27" t="s">
        <v>47</v>
      </c>
      <c r="E14" s="27" t="s">
        <v>48</v>
      </c>
      <c r="F14" s="27"/>
      <c r="G14" s="11"/>
    </row>
    <row r="15" spans="2:7" ht="18" customHeight="1">
      <c r="B15" s="27" t="s">
        <v>72</v>
      </c>
      <c r="C15" s="10" t="s">
        <v>73</v>
      </c>
      <c r="D15" s="27" t="s">
        <v>47</v>
      </c>
      <c r="E15" s="27" t="s">
        <v>48</v>
      </c>
      <c r="F15" s="27"/>
      <c r="G15" s="11"/>
    </row>
    <row r="16" spans="2:7" ht="18" customHeight="1">
      <c r="B16" s="27" t="s">
        <v>74</v>
      </c>
      <c r="C16" s="10" t="s">
        <v>75</v>
      </c>
      <c r="D16" s="27" t="s">
        <v>48</v>
      </c>
      <c r="E16" s="27" t="s">
        <v>47</v>
      </c>
      <c r="F16" s="27"/>
      <c r="G16" s="10" t="s">
        <v>229</v>
      </c>
    </row>
    <row r="17" spans="2:7" ht="18" customHeight="1">
      <c r="B17" s="27" t="s">
        <v>76</v>
      </c>
      <c r="C17" s="10" t="s">
        <v>77</v>
      </c>
      <c r="D17" s="27" t="s">
        <v>47</v>
      </c>
      <c r="E17" s="27" t="s">
        <v>48</v>
      </c>
      <c r="F17" s="27"/>
      <c r="G17" s="10" t="s">
        <v>229</v>
      </c>
    </row>
  </sheetData>
  <mergeCells count="1">
    <mergeCell ref="B2:G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0.작성안내</vt:lpstr>
      <vt:lpstr>1.근태코드</vt:lpstr>
      <vt:lpstr>2-1.근무유형</vt:lpstr>
      <vt:lpstr>2-2.근태코드 시간</vt:lpstr>
      <vt:lpstr>2-3.지각조퇴</vt:lpstr>
      <vt:lpstr>3.근로유형(정산)</vt:lpstr>
      <vt:lpstr>4.스케줄근무그룹</vt:lpstr>
      <vt:lpstr>5.신청서_근태코드</vt:lpstr>
      <vt:lpstr>참조_근태코드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HCG749</dc:creator>
  <cp:lastModifiedBy>김 준</cp:lastModifiedBy>
  <dcterms:created xsi:type="dcterms:W3CDTF">2026-08-27T01:47:41Z</dcterms:created>
  <dcterms:modified xsi:type="dcterms:W3CDTF">2026-08-27T01:47:41Z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2026-08-27T01:42:01Z</dcterms:created>
  <dc:creator>openpyxl</dc:creator>
  <dc:description/>
  <dc:language>en-US</dc:language>
  <cp:lastModifiedBy/>
  <dcterms:modified xsi:type="dcterms:W3CDTF">2026-08-27T01:42:02Z</dcterms:modified>
  <cp:revision>0</cp:revision>
  <dc:subject/>
  <dc:title/>
</cp:coreProperties>
</file>