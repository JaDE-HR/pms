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CG\2608010-블랙야크\01_요건원천\"/>
    </mc:Choice>
  </mc:AlternateContent>
  <xr:revisionPtr revIDLastSave="0" documentId="13_ncr:1_{E543A289-FEA4-46D9-A2E2-AC725B23C8A4}" xr6:coauthVersionLast="47" xr6:coauthVersionMax="47" xr10:uidLastSave="{00000000-0000-0000-0000-000000000000}"/>
  <bookViews>
    <workbookView xWindow="-38510" yWindow="-110" windowWidth="38620" windowHeight="21820" xr2:uid="{00000000-000D-0000-FFFF-FFFF00000000}"/>
  </bookViews>
  <sheets>
    <sheet name="요구사항 정의 및 공수산정 리스트" sheetId="1" r:id="rId1"/>
  </sheets>
  <definedNames>
    <definedName name="_xlnm._FilterDatabase" localSheetId="0" hidden="1">'요구사항 정의 및 공수산정 리스트'!$B$7:$J$76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9" i="1"/>
  <c r="K76" i="1"/>
  <c r="K61" i="1"/>
  <c r="K54" i="1"/>
  <c r="K53" i="1"/>
  <c r="K52" i="1"/>
  <c r="K51" i="1"/>
  <c r="K49" i="1"/>
  <c r="K46" i="1"/>
  <c r="K45" i="1"/>
  <c r="K44" i="1"/>
  <c r="K42" i="1"/>
  <c r="K16" i="1"/>
  <c r="K10" i="1"/>
  <c r="K8" i="1"/>
  <c r="K5" i="1"/>
</calcChain>
</file>

<file path=xl/sharedStrings.xml><?xml version="1.0" encoding="utf-8"?>
<sst xmlns="http://schemas.openxmlformats.org/spreadsheetml/2006/main" count="396" uniqueCount="203">
  <si>
    <t>개발 요구사항 정의 및 공수산정 리스트</t>
  </si>
  <si>
    <t>전체 도입금액</t>
  </si>
  <si>
    <t>순번</t>
  </si>
  <si>
    <t>화면 및 기능</t>
  </si>
  <si>
    <t>Main Process(L2)</t>
  </si>
  <si>
    <t>Main Process (L3)</t>
  </si>
  <si>
    <t>기능요건리스트</t>
  </si>
  <si>
    <t>중요</t>
  </si>
  <si>
    <t>내용</t>
  </si>
  <si>
    <t>구현방식</t>
  </si>
  <si>
    <t>책정공수</t>
  </si>
  <si>
    <t>산정금액</t>
  </si>
  <si>
    <t>인사평가</t>
  </si>
  <si>
    <t>성과평가</t>
  </si>
  <si>
    <t>F_1.02.02</t>
  </si>
  <si>
    <t>Must have</t>
  </si>
  <si>
    <t>목표 설정 일정관리 및 구성원 자동 알림 기능</t>
  </si>
  <si>
    <t>알림센터 기능에 대하여 해당 항목에 대한 알림 세팅 커스텀</t>
  </si>
  <si>
    <t>역량/성과 피드백</t>
  </si>
  <si>
    <t>F_1.05.01</t>
  </si>
  <si>
    <t>Nice to have</t>
  </si>
  <si>
    <t>매니저, 제3자에게 피드백을 요청하는 기능</t>
  </si>
  <si>
    <t>역량평가</t>
  </si>
  <si>
    <t>F_1.01.07</t>
  </si>
  <si>
    <t>평가자/피평가자에게 자동 메일 알림 (평가 남은 기간, 평가 결과 알림 등)</t>
  </si>
  <si>
    <t>F_1.01.08</t>
  </si>
  <si>
    <t>조직/직군/직무 등 조건별 구성원 평가결과 분석 리포트 추출 (평가항목별 점수, 조직 내 평가등급 분포도 등)</t>
  </si>
  <si>
    <t>F_1.01.09</t>
  </si>
  <si>
    <t>Visualized 평가 Calibration 기능 필요 (calibration 진행 시 피평가자별 근거 자료 구체적으로 제시)</t>
  </si>
  <si>
    <t>F_1.01.10</t>
  </si>
  <si>
    <t>Calibration 진행 시, 전체 직원들을 Drag &amp; Drop 형태로 등급 조정 하는 기능</t>
  </si>
  <si>
    <t>F_1.01.11</t>
  </si>
  <si>
    <t>Calibration 대상자 대량 업로드 기능 및 예외자 제외 기능</t>
  </si>
  <si>
    <t>F_1.01.12</t>
  </si>
  <si>
    <t>평가자 면담 및 이의신청 프로세스를 지원할 수 있는 기능</t>
  </si>
  <si>
    <t>이의신청에 대한 신청프로세스 별도 개발 필요</t>
  </si>
  <si>
    <t>다면평가</t>
  </si>
  <si>
    <t>F_1.03.10</t>
  </si>
  <si>
    <t>조직별 리더십 진단 대시보드</t>
  </si>
  <si>
    <t>인재관리</t>
  </si>
  <si>
    <t>승계자 및 핵심인재 관리</t>
  </si>
  <si>
    <t>F_2.01.02</t>
  </si>
  <si>
    <t>포지션 조직도 기반 승계후보자를 편집/조회 할 수 있는 화면</t>
  </si>
  <si>
    <t>F_2.01.03</t>
  </si>
  <si>
    <t>포지션 조직도에서 승계후보자의 핵심인사정보를 카드형태로 비교할 수 있는 기능</t>
  </si>
  <si>
    <t>F_2.01.04</t>
  </si>
  <si>
    <t>포지션과 연결된 직무에서 요구하는 역량을 후보자가 얼마나 갖추고 있는지 확인할 수 있는 기능</t>
  </si>
  <si>
    <t>F_2.01.05</t>
  </si>
  <si>
    <t>해당 포지션의 직상위 매니저에게 후보자 추천서를 배포하고 수취하는 기능</t>
  </si>
  <si>
    <t>F_2.01.07</t>
  </si>
  <si>
    <t>인재 검색 시, 검색된 결과 조건에 얼마나 부합하는지 표시하는 기능</t>
  </si>
  <si>
    <t>F_2.01.08</t>
  </si>
  <si>
    <t>특정 주제(ex. High Performer, Key Position)에 따라 인재를 Pool in/Pool out하고 이력 관리할 수 있는 기능</t>
  </si>
  <si>
    <t>직원경력개발(CDP)</t>
  </si>
  <si>
    <t>F_2.02.01</t>
  </si>
  <si>
    <t>개인이 희망하는 경로를 자유롭게 서술 할 수 있는 경력개발계획서 발행 기능</t>
  </si>
  <si>
    <t>F_2.02.02</t>
  </si>
  <si>
    <t>경력개발 목표를 설정하고 해당 목표가 경력개발계획서에 반영될 수 있는 기능</t>
  </si>
  <si>
    <t>F_2.02.03</t>
  </si>
  <si>
    <t>개발목표에 직원이 향후에 해야하는 Acitivity를 본인/매니저가 할당해 줄 수 있는 기능</t>
  </si>
  <si>
    <t>F_2.02.04</t>
  </si>
  <si>
    <t>희망하는 직무를 탐색하고 선택할 수 있는 화면과 해당 직무에 대한 직무기술서를 확인할 수 있는 기능</t>
  </si>
  <si>
    <t>F_2.02.05</t>
  </si>
  <si>
    <t>현재/희망하는 직무가 요구하는 역량과 본인의 역량을 GAP 형태로 직관적으로 비교할 수 있는 화면</t>
  </si>
  <si>
    <t>승진관리</t>
  </si>
  <si>
    <t>F_2.03.05</t>
  </si>
  <si>
    <t>승진자 확정 절차를 진행 시, 자동으로 승진 발령이 발생하는 기능</t>
  </si>
  <si>
    <t>인사기획</t>
  </si>
  <si>
    <t>포지션 관리</t>
  </si>
  <si>
    <t>F_3.02.01</t>
  </si>
  <si>
    <t>별도의 코딩 없이 UI 상에서 포지션 생성/변경/폐지가 가능한 방식</t>
  </si>
  <si>
    <t>F_3.02.02</t>
  </si>
  <si>
    <t>포지션별 주요 분류 속성(Job Code, Position Title 등) 을 관리할 수 있는 기능</t>
  </si>
  <si>
    <t>F_3.02.03</t>
  </si>
  <si>
    <t>포지션에 조직 속성(Company/Business Unit/Division/Department, Location, Cost Center 등)을 매핑·변경하고, 변경 이력(유효일자별)을 추적할 수 있는 기능</t>
  </si>
  <si>
    <t>F_3.02.04</t>
  </si>
  <si>
    <t>포지션 조직도 형태의 UI 상에서 공석(Vacant)/ 재직자(Incumbent) 현황을 구분해 볼 수 있는 기능</t>
  </si>
  <si>
    <t>F_3.02.05</t>
  </si>
  <si>
    <t>포지션 속성 변경 시 개인이 가지고 있는 발령정보와의 연계/동기화 규칙을 적용하여 데이터 정합성을 유지할 수 있는 기능 (ex. 포지션에 연결된 조직정보를 A에서 B로 바뀌는 경우, 해당 포지션의 재직자가 가지고 있는 소속 조직 정보도 별도의 발령 Action 없이 자동으로 바뀌게 하는 기능 또는 바뀌게 하는 규칙 생성 기능 )</t>
  </si>
  <si>
    <t>F_3.02.06</t>
  </si>
  <si>
    <t>포지션 데이터 마스터를 CSV 업로드/다운로드(Export/Import) 하여 대량 생성·정비가 가능하고, 오류 검증(Validation) 결과를 확인할 수 있는 기능</t>
  </si>
  <si>
    <t>F_3.02.07</t>
  </si>
  <si>
    <t>포지션 생성/변경/폐지에 대해 Workflow 기반 결재(승인/반려) 및 변경 이력 감사(Audit) 가 가능한 기능</t>
  </si>
  <si>
    <t>F_3.02.08</t>
  </si>
  <si>
    <t>포지션 현황(정원 대비 배치, 공석, 조직/코스트센터별 포지션 목록 등)을 리포트/조회 화면에서 테이블 형태로 제공 하고 필요 시 CSV로 추출할 수 있는 기능</t>
  </si>
  <si>
    <t>인력 통계</t>
  </si>
  <si>
    <t>F_3.04.03</t>
  </si>
  <si>
    <t>솔루션 내 타 인사 기능과의 Data 연계 및 분석 지원 기능 (ex. 조직별 평균 역량/성과 점수)</t>
  </si>
  <si>
    <t>인사행정</t>
  </si>
  <si>
    <t>인사기록조회</t>
  </si>
  <si>
    <t>F_4.01.09</t>
  </si>
  <si>
    <t>채용 입사정보를 HR에 자동으로 가져올 수 있는 기능 필요</t>
  </si>
  <si>
    <t>전자서명(계약서, 동의서) 관리</t>
  </si>
  <si>
    <t>F_4.04.03</t>
  </si>
  <si>
    <t>전자서명 완료 여부 기반 후속 인사 프로세스 제어 기능</t>
  </si>
  <si>
    <t>F_4.04.05</t>
  </si>
  <si>
    <t>모바일 전자서명 지원 기능</t>
  </si>
  <si>
    <t>F_4.04.07</t>
  </si>
  <si>
    <t>전자서명 미완료 대상자 자동 알림 기능</t>
  </si>
  <si>
    <t>인력운영</t>
  </si>
  <si>
    <t>인사발령</t>
  </si>
  <si>
    <t>F_5.01.03</t>
  </si>
  <si>
    <t>발령 사항 발령 초안(임시저장/가발령) 생성 기능</t>
  </si>
  <si>
    <t>F_5.01.15</t>
  </si>
  <si>
    <t>발령시 자동으로 기본 ERP 권한(인사/회계 등) 부여</t>
  </si>
  <si>
    <t>보상관리</t>
  </si>
  <si>
    <t>제수당관리/지급</t>
  </si>
  <si>
    <t>F_6.02.03</t>
  </si>
  <si>
    <t>급여 시뮬레이션 진행 시, 수당 항목 단위로 전/후 비교 리포트를 제공 기능</t>
  </si>
  <si>
    <t>시뮬레이션 기능 제공하고 있으나 수당항목 단위는 아님 세부 커스텀 개발 필요</t>
  </si>
  <si>
    <t>정기급여 계산/지급</t>
  </si>
  <si>
    <t>F_6.05.07</t>
  </si>
  <si>
    <t>급상여 계산 및 회계전표처리 기능</t>
  </si>
  <si>
    <t>F_6.05.08</t>
  </si>
  <si>
    <t>급상여 완료 처리 후 지급 품의 작성 및 그룹웨어 전자결재 연계 기능</t>
  </si>
  <si>
    <t>F_6.05.11</t>
  </si>
  <si>
    <t>(압류처리 시) 채권 가압류 대상자 파일(압류 상세내역, 증빙자료) 관리 기능</t>
  </si>
  <si>
    <t>F_6.05.12</t>
  </si>
  <si>
    <t>(압류처리 시) 가압류 금액을 급여에서 공제하는 기능</t>
  </si>
  <si>
    <t>F_6.05.18</t>
  </si>
  <si>
    <t>코스트센터 비율별 인건비 배분 기능</t>
  </si>
  <si>
    <t>기간배분 기준이며 비율 배분은 커스텀 사항</t>
  </si>
  <si>
    <t>사회보험</t>
  </si>
  <si>
    <t>F_6.07.02</t>
  </si>
  <si>
    <t>임직원의 연령(60세 기준)·재직/휴직 상태·급여지급 여부에 따라 국민연금(의무/임의계속) 대상 여부를 자동 판정하고, 공제/산정/상실·전환 처리를 유효일자 기반으로 이력관리하는 기능</t>
  </si>
  <si>
    <t>F_6.07.07</t>
  </si>
  <si>
    <t>회계 전표처리 및 급여 공제 기능</t>
  </si>
  <si>
    <t>퇴직금 계산/지급</t>
  </si>
  <si>
    <t>F_6.08.06</t>
  </si>
  <si>
    <t>퇴직금/추계액/충당금 계산 및 가산 기능 (DC형, DB형 선택)</t>
  </si>
  <si>
    <t>추계및 충당은 DB만 제공, 추가개발 필요</t>
  </si>
  <si>
    <t>F_6.08.08</t>
  </si>
  <si>
    <t>퇴직충당금 회계전기 기능</t>
  </si>
  <si>
    <t>F_6.08.12</t>
  </si>
  <si>
    <t>퇴직연금 전환 대상자 관리 기능(가입현황 리포팅 기능)</t>
  </si>
  <si>
    <t>F_6.08.13</t>
  </si>
  <si>
    <t>퇴직연금 개인별 전환금 산정 및 정산 관리 (이력관리 포함)</t>
  </si>
  <si>
    <t>F_6.08.15</t>
  </si>
  <si>
    <t>퇴직금 이관 대상자 관리 기능(그룹, 자회사 전/출입 등)</t>
  </si>
  <si>
    <t>F_6.08.16</t>
  </si>
  <si>
    <t>퇴직금 이관금액 관리 기능</t>
  </si>
  <si>
    <t>F_6.08.17</t>
  </si>
  <si>
    <t>퇴직금 이관 회계전기(퇴직연금 구분, 지급구분(일시금/IRP)) 관리 기능</t>
  </si>
  <si>
    <t>일용직 관리/급여 지급</t>
  </si>
  <si>
    <t>F_6.09.05</t>
  </si>
  <si>
    <t>일용직 급여 회계전기 기능</t>
  </si>
  <si>
    <t>근태관리</t>
  </si>
  <si>
    <t>연차관리</t>
  </si>
  <si>
    <t>F_7.02.12</t>
  </si>
  <si>
    <t>(단체연차 지정일에 근무 시) 대체 휴가를 신청하고 승인하는 기능</t>
  </si>
  <si>
    <t>F_7.02.15</t>
  </si>
  <si>
    <t>연차 세금계산 및 전표처리, 펌뱅킹 연계</t>
  </si>
  <si>
    <t>근무/휴무관리</t>
  </si>
  <si>
    <t>F_7.04.04</t>
  </si>
  <si>
    <t>발령을 근무유형을 연계하는 기능</t>
  </si>
  <si>
    <t>F_7.04.15</t>
  </si>
  <si>
    <t>출장신청/보고 - 출장비용 전표 연계 기능</t>
  </si>
  <si>
    <t>복리후생</t>
  </si>
  <si>
    <t>경조사 지원</t>
  </si>
  <si>
    <t>F_8.01.06</t>
  </si>
  <si>
    <t>경조사 유형별 중복 신청 및 한도 사전 검증 기능</t>
  </si>
  <si>
    <t>건강검진 지원</t>
  </si>
  <si>
    <t>F_8.02.02</t>
  </si>
  <si>
    <t>건강검진 대상자 조회 화면</t>
  </si>
  <si>
    <t>동호회비지원</t>
  </si>
  <si>
    <t>F_8.05.01</t>
  </si>
  <si>
    <t>동호회 지원 복지제도 소개 화면</t>
  </si>
  <si>
    <t>F_8.05.02</t>
  </si>
  <si>
    <t>동호회비 신청/증빙/승인 화면</t>
  </si>
  <si>
    <t>F_8.05.03</t>
  </si>
  <si>
    <t>동호회비 결과 조회 화면</t>
  </si>
  <si>
    <t>장기근속포상</t>
  </si>
  <si>
    <t>F_8.03.02</t>
  </si>
  <si>
    <t>장기근속포상 회계 전표생성 및 ERP 연계</t>
  </si>
  <si>
    <t>F_8.01.08</t>
  </si>
  <si>
    <t>경조사비 회계 전표생성 및 ERP 연계</t>
  </si>
  <si>
    <t>F_8.05.04</t>
  </si>
  <si>
    <t>동호회비 회계 전표생성 및 ERP 연계</t>
  </si>
  <si>
    <t>자기계발비지원</t>
  </si>
  <si>
    <t>F_8.06.04</t>
  </si>
  <si>
    <t>자기계발비 회계 전표생성 및 ERP 연계</t>
  </si>
  <si>
    <t>모성보호관리</t>
  </si>
  <si>
    <t>F_8.07.01</t>
  </si>
  <si>
    <t xml:space="preserve">임산부 및 가족 정보 등록 신청, 증빙, 조회 기능 (개인별 조회 X, 레포트 형태 조회) </t>
  </si>
  <si>
    <t>F_8.07.02</t>
  </si>
  <si>
    <t xml:space="preserve">모성보호 관련 법정 요건 충족 여부 검증 지원 기능 </t>
  </si>
  <si>
    <t>F_8.07.03</t>
  </si>
  <si>
    <t>모성보호 대상자 현황 조회 및 관리 기능</t>
  </si>
  <si>
    <t xml:space="preserve">프로젝트 예비공수 </t>
  </si>
  <si>
    <t>알림센터 기능에 대하여 해당 항목에 대한 알림 세팅 커스텀 (F_1.02.02 개발시 병합진행 가능하여 별도 견적 산정하지 않음)</t>
    <phoneticPr fontId="1" type="noConversion"/>
  </si>
  <si>
    <t>상세요건 확인 후 추가개발</t>
    <phoneticPr fontId="1" type="noConversion"/>
  </si>
  <si>
    <t>가발령 화면 개발 및 채용정보 연동 시 입사전 임시저장 역할</t>
    <phoneticPr fontId="1" type="noConversion"/>
  </si>
  <si>
    <t>그룹웨어에서 해당 신청서 제공 시에 연동 진행에 대한 인터페이스 공수</t>
    <phoneticPr fontId="1" type="noConversion"/>
  </si>
  <si>
    <t xml:space="preserve">급상여 분개 및 전표 인터페이스 개발 </t>
    <phoneticPr fontId="1" type="noConversion"/>
  </si>
  <si>
    <t>전표 인터페이스 개발</t>
    <phoneticPr fontId="1" type="noConversion"/>
  </si>
  <si>
    <t>프로젝트 착수 전에 개발요건이 명확하지 않으시거나, 프로젝트 진행 도중에 발생할 수 있는 추가개발 건 등의 처리를 위하여 산정한 용도를 정하지 않은 예비공수입니다.</t>
    <phoneticPr fontId="1" type="noConversion"/>
  </si>
  <si>
    <t>최종진행하지 않기로 협의함. 공수산정에서 제외</t>
  </si>
  <si>
    <t>최종진행하지 않기로 협의함. 공수산정에서 제외</t>
    <phoneticPr fontId="1" type="noConversion"/>
  </si>
  <si>
    <t>최종진행하지 않기로 협의함. 공수산정에서 제외</t>
    <phoneticPr fontId="1" type="noConversion"/>
  </si>
  <si>
    <t>전표 인터페이스 개발
펌뱅킹은 제외 공수 재산정 (30-&gt;10)</t>
    <phoneticPr fontId="1" type="noConversion"/>
  </si>
  <si>
    <t>산정공수(M/D)</t>
    <phoneticPr fontId="1" type="noConversion"/>
  </si>
  <si>
    <t>분개 요건 제외 , API 개발로10일 예비공수 편입</t>
    <phoneticPr fontId="1" type="noConversion"/>
  </si>
  <si>
    <t>GW업체 결정 후 재논의 후 필요시 조정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</si>
</sst>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0.00_ "/>
    <numFmt numFmtId="178" formatCode="#,##0&quot;원&quot;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0" tint="-0.499984740745262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51BA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rgb="FFFFF2CC"/>
        <bgColor rgb="FFFFF2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CE4EC"/>
      </patternFill>
    </fill>
    <fill>
      <patternFill patternType="solid">
        <fgColor theme="0" tint="-4.9989318521683403E-2"/>
        <bgColor rgb="FFFFF2CC"/>
      </patternFill>
    </fill>
  </fills>
  <borders count="2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176" fontId="0" fillId="4" borderId="0" xfId="0" applyNumberFormat="1" applyFill="1">
      <alignment vertical="center"/>
    </xf>
    <xf numFmtId="176" fontId="0" fillId="0" borderId="0" xfId="0" applyNumberFormat="1">
      <alignment vertical="center"/>
    </xf>
    <xf numFmtId="176" fontId="4" fillId="3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5" borderId="9" xfId="0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76" fontId="3" fillId="0" borderId="0" xfId="0" applyNumberFormat="1" applyFont="1" applyAlignment="1">
      <alignment horizontal="right" vertical="center"/>
    </xf>
    <xf numFmtId="0" fontId="5" fillId="4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4" borderId="2" xfId="0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right" vertical="center" wrapText="1"/>
    </xf>
    <xf numFmtId="0" fontId="5" fillId="4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0" fontId="5" fillId="4" borderId="11" xfId="0" applyFont="1" applyFill="1" applyBorder="1" applyAlignment="1">
      <alignment horizontal="left" vertical="top" wrapText="1"/>
    </xf>
    <xf numFmtId="0" fontId="0" fillId="0" borderId="0" xfId="0" applyAlignment="1"/>
    <xf numFmtId="178" fontId="5" fillId="4" borderId="7" xfId="0" applyNumberFormat="1" applyFont="1" applyFill="1" applyBorder="1" applyAlignment="1">
      <alignment horizontal="right" vertical="center"/>
    </xf>
    <xf numFmtId="178" fontId="0" fillId="4" borderId="10" xfId="0" applyNumberFormat="1" applyFill="1" applyBorder="1" applyAlignment="1">
      <alignment horizontal="right" vertical="center"/>
    </xf>
    <xf numFmtId="177" fontId="6" fillId="4" borderId="0" xfId="0" applyNumberFormat="1" applyFont="1" applyFill="1" applyAlignment="1">
      <alignment horizontal="right" vertical="center"/>
    </xf>
    <xf numFmtId="177" fontId="7" fillId="4" borderId="0" xfId="0" applyNumberFormat="1" applyFont="1" applyFill="1" applyAlignment="1">
      <alignment horizontal="right" vertical="center"/>
    </xf>
    <xf numFmtId="178" fontId="7" fillId="4" borderId="0" xfId="0" applyNumberFormat="1" applyFont="1" applyFill="1" applyAlignment="1">
      <alignment horizontal="right" vertical="center"/>
    </xf>
    <xf numFmtId="0" fontId="3" fillId="4" borderId="18" xfId="0" applyFont="1" applyFill="1" applyBorder="1" applyAlignment="1">
      <alignment vertical="center" wrapText="1"/>
    </xf>
    <xf numFmtId="0" fontId="5" fillId="0" borderId="19" xfId="0" applyFont="1" applyBorder="1" applyAlignment="1">
      <alignment horizontal="center" vertical="top" wrapText="1"/>
    </xf>
    <xf numFmtId="0" fontId="5" fillId="4" borderId="19" xfId="0" applyFont="1" applyFill="1" applyBorder="1" applyAlignment="1"/>
    <xf numFmtId="0" fontId="3" fillId="8" borderId="6" xfId="0" applyFont="1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top" wrapText="1"/>
    </xf>
    <xf numFmtId="0" fontId="5" fillId="8" borderId="2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right" vertical="center"/>
    </xf>
    <xf numFmtId="178" fontId="0" fillId="8" borderId="7" xfId="0" applyNumberFormat="1" applyFill="1" applyBorder="1" applyAlignment="1">
      <alignment horizontal="right" vertical="center"/>
    </xf>
    <xf numFmtId="178" fontId="5" fillId="8" borderId="7" xfId="0" applyNumberFormat="1" applyFont="1" applyFill="1" applyBorder="1" applyAlignment="1">
      <alignment horizontal="right" vertical="center"/>
    </xf>
    <xf numFmtId="0" fontId="0" fillId="8" borderId="2" xfId="0" applyFill="1" applyBorder="1" applyAlignment="1">
      <alignment vertical="center" wrapText="1"/>
    </xf>
    <xf numFmtId="0" fontId="8" fillId="8" borderId="11" xfId="0" applyFont="1" applyFill="1" applyBorder="1" applyAlignment="1">
      <alignment horizontal="left" vertical="top" wrapText="1"/>
    </xf>
    <xf numFmtId="0" fontId="8" fillId="4" borderId="11" xfId="0" applyFont="1" applyFill="1" applyBorder="1" applyAlignment="1">
      <alignment horizontal="left" vertical="top" wrapText="1"/>
    </xf>
    <xf numFmtId="0" fontId="5" fillId="9" borderId="2" xfId="0" applyFont="1" applyFill="1" applyBorder="1" applyAlignment="1">
      <alignment horizontal="center" vertical="top" wrapText="1"/>
    </xf>
    <xf numFmtId="0" fontId="5" fillId="9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center" vertical="top" wrapText="1"/>
    </xf>
    <xf numFmtId="0" fontId="5" fillId="10" borderId="2" xfId="0" applyFont="1" applyFill="1" applyBorder="1" applyAlignment="1">
      <alignment horizontal="left" vertical="top" wrapText="1"/>
    </xf>
    <xf numFmtId="0" fontId="5" fillId="4" borderId="12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5" fillId="4" borderId="12" xfId="0" applyFont="1" applyFill="1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178" fontId="0" fillId="4" borderId="15" xfId="0" applyNumberFormat="1" applyFill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8" fillId="8" borderId="12" xfId="0" applyFont="1" applyFill="1" applyBorder="1" applyAlignment="1">
      <alignment horizontal="left" vertical="top" wrapText="1"/>
    </xf>
    <xf numFmtId="0" fontId="8" fillId="8" borderId="13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right" vertical="center"/>
    </xf>
    <xf numFmtId="0" fontId="0" fillId="8" borderId="13" xfId="0" applyFill="1" applyBorder="1" applyAlignment="1"/>
    <xf numFmtId="0" fontId="8" fillId="8" borderId="14" xfId="0" applyFont="1" applyFill="1" applyBorder="1" applyAlignment="1">
      <alignment horizontal="left" vertical="top" wrapText="1"/>
    </xf>
    <xf numFmtId="0" fontId="8" fillId="8" borderId="12" xfId="0" quotePrefix="1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0" fillId="0" borderId="13" xfId="0" applyBorder="1" applyAlignment="1"/>
    <xf numFmtId="178" fontId="5" fillId="0" borderId="7" xfId="0" applyNumberFormat="1" applyFont="1" applyBorder="1" applyAlignment="1">
      <alignment horizontal="right" vertical="center"/>
    </xf>
    <xf numFmtId="0" fontId="0" fillId="0" borderId="16" xfId="0" applyBorder="1" applyAlignment="1"/>
    <xf numFmtId="0" fontId="0" fillId="8" borderId="14" xfId="0" applyFill="1" applyBorder="1" applyAlignment="1"/>
    <xf numFmtId="178" fontId="5" fillId="8" borderId="7" xfId="0" applyNumberFormat="1" applyFont="1" applyFill="1" applyBorder="1" applyAlignment="1">
      <alignment horizontal="right" vertical="center"/>
    </xf>
    <xf numFmtId="0" fontId="0" fillId="8" borderId="17" xfId="0" applyFill="1" applyBorder="1" applyAlignment="1"/>
    <xf numFmtId="0" fontId="0" fillId="8" borderId="16" xfId="0" applyFill="1" applyBorder="1" applyAlignment="1"/>
    <xf numFmtId="0" fontId="5" fillId="0" borderId="2" xfId="0" applyFont="1" applyBorder="1" applyAlignment="1">
      <alignment horizontal="right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8" xfId="0" applyBorder="1" applyAlignment="1"/>
    <xf numFmtId="0" fontId="3" fillId="2" borderId="9" xfId="0" applyFont="1" applyFill="1" applyBorder="1" applyAlignment="1">
      <alignment horizontal="left" vertical="center" wrapText="1"/>
    </xf>
    <xf numFmtId="0" fontId="0" fillId="0" borderId="20" xfId="0" applyBorder="1" applyAlignment="1">
      <alignment horizontal="left" vertical="top" wrapText="1"/>
    </xf>
    <xf numFmtId="0" fontId="0" fillId="8" borderId="13" xfId="0" applyFill="1" applyBorder="1" applyAlignment="1">
      <alignment horizontal="left" vertical="top" wrapText="1"/>
    </xf>
    <xf numFmtId="0" fontId="0" fillId="8" borderId="12" xfId="0" applyFill="1" applyBorder="1" applyAlignment="1"/>
    <xf numFmtId="0" fontId="0" fillId="8" borderId="15" xfId="0" applyFill="1" applyBorder="1" applyAlignment="1"/>
    <xf numFmtId="0" fontId="0" fillId="0" borderId="14" xfId="0" applyBorder="1">
      <alignment vertical="center"/>
    </xf>
    <xf numFmtId="178" fontId="5" fillId="4" borderId="15" xfId="0" applyNumberFormat="1" applyFont="1" applyFill="1" applyBorder="1" applyAlignment="1">
      <alignment horizontal="right" vertical="center"/>
    </xf>
    <xf numFmtId="0" fontId="0" fillId="0" borderId="17" xfId="0" applyBorder="1">
      <alignment vertical="center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L76"/>
  <sheetViews>
    <sheetView showGridLines="0" tabSelected="1" topLeftCell="A8" zoomScale="85" zoomScaleNormal="85" workbookViewId="0">
      <selection activeCell="L49" sqref="L49"/>
    </sheetView>
  </sheetViews>
  <sheetFormatPr defaultRowHeight="17" x14ac:dyDescent="0.45"/>
  <cols>
    <col min="1" max="1" width="3.5" style="30" customWidth="1"/>
    <col min="2" max="2" width="7.25" style="3" customWidth="1"/>
    <col min="3" max="3" width="21.08203125" style="4" hidden="1" customWidth="1"/>
    <col min="4" max="5" width="17.08203125" style="15" customWidth="1"/>
    <col min="6" max="7" width="22.08203125" style="15" customWidth="1"/>
    <col min="8" max="8" width="54.75" style="2" customWidth="1"/>
    <col min="9" max="9" width="55.83203125" style="2" customWidth="1"/>
    <col min="10" max="10" width="12.75" style="30" customWidth="1"/>
    <col min="11" max="11" width="33.83203125" style="13" customWidth="1"/>
    <col min="12" max="12" width="63.6640625" style="30" customWidth="1"/>
  </cols>
  <sheetData>
    <row r="2" spans="2:11" x14ac:dyDescent="0.45">
      <c r="J2" s="3"/>
      <c r="K2" s="20"/>
    </row>
    <row r="3" spans="2:11" ht="32.25" customHeight="1" thickBot="1" x14ac:dyDescent="0.5">
      <c r="B3" s="1" t="s">
        <v>0</v>
      </c>
      <c r="C3" s="5"/>
      <c r="D3" s="16"/>
      <c r="E3" s="16"/>
      <c r="F3" s="16"/>
      <c r="G3" s="16"/>
      <c r="I3" s="26"/>
      <c r="J3" s="33"/>
      <c r="K3" s="34"/>
    </row>
    <row r="4" spans="2:11" ht="32.25" customHeight="1" thickTop="1" x14ac:dyDescent="0.45">
      <c r="B4" s="11"/>
      <c r="I4" s="26"/>
      <c r="J4" s="33" t="s">
        <v>200</v>
      </c>
      <c r="K4" s="34" t="str">
        <f>SUM(J8:J76)&amp;" M/D ("&amp;TEXT(SUM(J8:J76)/20,"0.00")&amp;" M/M)"</f>
        <v>225 M/D (11.25 M/M)</v>
      </c>
    </row>
    <row r="5" spans="2:11" ht="32.25" customHeight="1" x14ac:dyDescent="0.45">
      <c r="B5" s="11"/>
      <c r="I5" s="26"/>
      <c r="J5" s="33" t="s">
        <v>1</v>
      </c>
      <c r="K5" s="35">
        <f>SUM(J8:J76)*665000</f>
        <v>149625000</v>
      </c>
    </row>
    <row r="6" spans="2:11" ht="17.25" customHeight="1" thickBot="1" x14ac:dyDescent="0.5">
      <c r="K6" s="12"/>
    </row>
    <row r="7" spans="2:11" s="2" customFormat="1" ht="38.25" customHeight="1" x14ac:dyDescent="0.45">
      <c r="B7" s="6" t="s">
        <v>2</v>
      </c>
      <c r="C7" s="7" t="s">
        <v>3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7" t="s">
        <v>10</v>
      </c>
      <c r="K7" s="14" t="s">
        <v>11</v>
      </c>
    </row>
    <row r="8" spans="2:11" s="2" customFormat="1" ht="60" customHeight="1" x14ac:dyDescent="0.45">
      <c r="B8" s="10">
        <v>1</v>
      </c>
      <c r="C8" s="9"/>
      <c r="D8" s="21" t="s">
        <v>12</v>
      </c>
      <c r="E8" s="21" t="s">
        <v>13</v>
      </c>
      <c r="F8" s="21" t="s">
        <v>14</v>
      </c>
      <c r="G8" s="22" t="s">
        <v>15</v>
      </c>
      <c r="H8" s="27" t="s">
        <v>16</v>
      </c>
      <c r="I8" s="53" t="s">
        <v>17</v>
      </c>
      <c r="J8" s="55">
        <v>5</v>
      </c>
      <c r="K8" s="57">
        <f>J8*665000</f>
        <v>3325000</v>
      </c>
    </row>
    <row r="9" spans="2:11" s="2" customFormat="1" ht="60" hidden="1" customHeight="1" x14ac:dyDescent="0.45">
      <c r="B9" s="10">
        <v>2</v>
      </c>
      <c r="C9" s="19"/>
      <c r="D9" s="21" t="s">
        <v>88</v>
      </c>
      <c r="E9" s="21" t="s">
        <v>92</v>
      </c>
      <c r="F9" s="21" t="s">
        <v>97</v>
      </c>
      <c r="G9" s="22" t="s">
        <v>15</v>
      </c>
      <c r="H9" s="27" t="s">
        <v>98</v>
      </c>
      <c r="I9" s="54"/>
      <c r="J9" s="56"/>
      <c r="K9" s="58"/>
    </row>
    <row r="10" spans="2:11" s="2" customFormat="1" ht="60" customHeight="1" x14ac:dyDescent="0.45">
      <c r="B10" s="10">
        <v>3</v>
      </c>
      <c r="C10" s="9"/>
      <c r="D10" s="21" t="s">
        <v>12</v>
      </c>
      <c r="E10" s="21" t="s">
        <v>18</v>
      </c>
      <c r="F10" s="21" t="s">
        <v>19</v>
      </c>
      <c r="G10" s="22" t="s">
        <v>20</v>
      </c>
      <c r="H10" s="27" t="s">
        <v>21</v>
      </c>
      <c r="I10" s="65" t="s">
        <v>189</v>
      </c>
      <c r="J10" s="73">
        <v>0</v>
      </c>
      <c r="K10" s="67">
        <f>J10*665000</f>
        <v>0</v>
      </c>
    </row>
    <row r="11" spans="2:11" s="2" customFormat="1" ht="60" hidden="1" customHeight="1" x14ac:dyDescent="0.45">
      <c r="B11" s="10">
        <v>4</v>
      </c>
      <c r="C11" s="9"/>
      <c r="D11" s="21" t="s">
        <v>12</v>
      </c>
      <c r="E11" s="21" t="s">
        <v>22</v>
      </c>
      <c r="F11" s="21" t="s">
        <v>23</v>
      </c>
      <c r="G11" s="22" t="s">
        <v>20</v>
      </c>
      <c r="H11" s="27" t="s">
        <v>24</v>
      </c>
      <c r="I11" s="66"/>
      <c r="J11" s="66"/>
      <c r="K11" s="68"/>
    </row>
    <row r="12" spans="2:11" s="2" customFormat="1" ht="60" hidden="1" customHeight="1" x14ac:dyDescent="0.45">
      <c r="B12" s="39">
        <v>5</v>
      </c>
      <c r="C12" s="40"/>
      <c r="D12" s="41" t="s">
        <v>12</v>
      </c>
      <c r="E12" s="41" t="s">
        <v>22</v>
      </c>
      <c r="F12" s="41" t="s">
        <v>25</v>
      </c>
      <c r="G12" s="41" t="s">
        <v>20</v>
      </c>
      <c r="H12" s="42" t="s">
        <v>26</v>
      </c>
      <c r="I12" s="47" t="s">
        <v>197</v>
      </c>
      <c r="J12" s="43"/>
      <c r="K12" s="44"/>
    </row>
    <row r="13" spans="2:11" s="2" customFormat="1" ht="60" hidden="1" customHeight="1" x14ac:dyDescent="0.45">
      <c r="B13" s="39">
        <v>6</v>
      </c>
      <c r="C13" s="40"/>
      <c r="D13" s="41" t="s">
        <v>12</v>
      </c>
      <c r="E13" s="41" t="s">
        <v>22</v>
      </c>
      <c r="F13" s="41" t="s">
        <v>27</v>
      </c>
      <c r="G13" s="41" t="s">
        <v>15</v>
      </c>
      <c r="H13" s="42" t="s">
        <v>28</v>
      </c>
      <c r="I13" s="59" t="s">
        <v>196</v>
      </c>
      <c r="J13" s="61"/>
      <c r="K13" s="70"/>
    </row>
    <row r="14" spans="2:11" s="2" customFormat="1" ht="60" hidden="1" customHeight="1" x14ac:dyDescent="0.45">
      <c r="B14" s="39">
        <v>7</v>
      </c>
      <c r="C14" s="40"/>
      <c r="D14" s="41" t="s">
        <v>12</v>
      </c>
      <c r="E14" s="41" t="s">
        <v>22</v>
      </c>
      <c r="F14" s="41" t="s">
        <v>29</v>
      </c>
      <c r="G14" s="41" t="s">
        <v>15</v>
      </c>
      <c r="H14" s="42" t="s">
        <v>30</v>
      </c>
      <c r="I14" s="63"/>
      <c r="J14" s="69"/>
      <c r="K14" s="71"/>
    </row>
    <row r="15" spans="2:11" s="2" customFormat="1" ht="60" hidden="1" customHeight="1" x14ac:dyDescent="0.45">
      <c r="B15" s="39">
        <v>8</v>
      </c>
      <c r="C15" s="46"/>
      <c r="D15" s="41" t="s">
        <v>12</v>
      </c>
      <c r="E15" s="41" t="s">
        <v>22</v>
      </c>
      <c r="F15" s="41" t="s">
        <v>31</v>
      </c>
      <c r="G15" s="41" t="s">
        <v>15</v>
      </c>
      <c r="H15" s="42" t="s">
        <v>32</v>
      </c>
      <c r="I15" s="60"/>
      <c r="J15" s="62"/>
      <c r="K15" s="72"/>
    </row>
    <row r="16" spans="2:11" s="2" customFormat="1" ht="60" customHeight="1" x14ac:dyDescent="0.45">
      <c r="B16" s="10">
        <v>9</v>
      </c>
      <c r="C16" s="19"/>
      <c r="D16" s="21" t="s">
        <v>12</v>
      </c>
      <c r="E16" s="21" t="s">
        <v>22</v>
      </c>
      <c r="F16" s="21" t="s">
        <v>33</v>
      </c>
      <c r="G16" s="22" t="s">
        <v>20</v>
      </c>
      <c r="H16" s="27" t="s">
        <v>34</v>
      </c>
      <c r="I16" s="29" t="s">
        <v>35</v>
      </c>
      <c r="J16" s="23">
        <v>10</v>
      </c>
      <c r="K16" s="31">
        <f>J16*665000</f>
        <v>6650000</v>
      </c>
    </row>
    <row r="17" spans="2:11" s="2" customFormat="1" ht="60" hidden="1" customHeight="1" x14ac:dyDescent="0.45">
      <c r="B17" s="39">
        <v>10</v>
      </c>
      <c r="C17" s="46"/>
      <c r="D17" s="41" t="s">
        <v>12</v>
      </c>
      <c r="E17" s="41" t="s">
        <v>36</v>
      </c>
      <c r="F17" s="41" t="s">
        <v>37</v>
      </c>
      <c r="G17" s="41" t="s">
        <v>15</v>
      </c>
      <c r="H17" s="42" t="s">
        <v>38</v>
      </c>
      <c r="I17" s="47" t="s">
        <v>197</v>
      </c>
      <c r="J17" s="43"/>
      <c r="K17" s="45"/>
    </row>
    <row r="18" spans="2:11" s="2" customFormat="1" ht="60" hidden="1" customHeight="1" x14ac:dyDescent="0.45">
      <c r="B18" s="39">
        <v>11</v>
      </c>
      <c r="C18" s="46"/>
      <c r="D18" s="41" t="s">
        <v>39</v>
      </c>
      <c r="E18" s="41" t="s">
        <v>40</v>
      </c>
      <c r="F18" s="41" t="s">
        <v>41</v>
      </c>
      <c r="G18" s="41" t="s">
        <v>20</v>
      </c>
      <c r="H18" s="42" t="s">
        <v>42</v>
      </c>
      <c r="I18" s="64" t="s">
        <v>198</v>
      </c>
      <c r="J18" s="61"/>
      <c r="K18" s="70"/>
    </row>
    <row r="19" spans="2:11" s="2" customFormat="1" ht="60" hidden="1" customHeight="1" x14ac:dyDescent="0.45">
      <c r="B19" s="39">
        <v>12</v>
      </c>
      <c r="C19" s="46"/>
      <c r="D19" s="41" t="s">
        <v>39</v>
      </c>
      <c r="E19" s="41" t="s">
        <v>40</v>
      </c>
      <c r="F19" s="41" t="s">
        <v>43</v>
      </c>
      <c r="G19" s="41" t="s">
        <v>20</v>
      </c>
      <c r="H19" s="42" t="s">
        <v>44</v>
      </c>
      <c r="I19" s="63"/>
      <c r="J19" s="69"/>
      <c r="K19" s="71"/>
    </row>
    <row r="20" spans="2:11" s="2" customFormat="1" ht="60" hidden="1" customHeight="1" x14ac:dyDescent="0.45">
      <c r="B20" s="39">
        <v>13</v>
      </c>
      <c r="C20" s="46"/>
      <c r="D20" s="41" t="s">
        <v>39</v>
      </c>
      <c r="E20" s="41" t="s">
        <v>40</v>
      </c>
      <c r="F20" s="41" t="s">
        <v>45</v>
      </c>
      <c r="G20" s="41" t="s">
        <v>20</v>
      </c>
      <c r="H20" s="42" t="s">
        <v>46</v>
      </c>
      <c r="I20" s="63"/>
      <c r="J20" s="69"/>
      <c r="K20" s="71"/>
    </row>
    <row r="21" spans="2:11" s="2" customFormat="1" ht="60" hidden="1" customHeight="1" x14ac:dyDescent="0.45">
      <c r="B21" s="39">
        <v>14</v>
      </c>
      <c r="C21" s="46"/>
      <c r="D21" s="41" t="s">
        <v>39</v>
      </c>
      <c r="E21" s="41" t="s">
        <v>40</v>
      </c>
      <c r="F21" s="41" t="s">
        <v>47</v>
      </c>
      <c r="G21" s="41" t="s">
        <v>20</v>
      </c>
      <c r="H21" s="42" t="s">
        <v>48</v>
      </c>
      <c r="I21" s="63"/>
      <c r="J21" s="62"/>
      <c r="K21" s="72"/>
    </row>
    <row r="22" spans="2:11" s="2" customFormat="1" ht="60" hidden="1" customHeight="1" x14ac:dyDescent="0.45">
      <c r="B22" s="39">
        <v>15</v>
      </c>
      <c r="C22" s="46"/>
      <c r="D22" s="41" t="s">
        <v>39</v>
      </c>
      <c r="E22" s="41" t="s">
        <v>40</v>
      </c>
      <c r="F22" s="41" t="s">
        <v>49</v>
      </c>
      <c r="G22" s="41" t="s">
        <v>20</v>
      </c>
      <c r="H22" s="42" t="s">
        <v>50</v>
      </c>
      <c r="I22" s="63"/>
      <c r="J22" s="61"/>
      <c r="K22" s="70"/>
    </row>
    <row r="23" spans="2:11" s="2" customFormat="1" ht="60" hidden="1" customHeight="1" x14ac:dyDescent="0.45">
      <c r="B23" s="39">
        <v>16</v>
      </c>
      <c r="C23" s="46"/>
      <c r="D23" s="41" t="s">
        <v>39</v>
      </c>
      <c r="E23" s="41" t="s">
        <v>40</v>
      </c>
      <c r="F23" s="41" t="s">
        <v>51</v>
      </c>
      <c r="G23" s="41" t="s">
        <v>20</v>
      </c>
      <c r="H23" s="42" t="s">
        <v>52</v>
      </c>
      <c r="I23" s="63"/>
      <c r="J23" s="69"/>
      <c r="K23" s="71"/>
    </row>
    <row r="24" spans="2:11" s="2" customFormat="1" ht="60" hidden="1" customHeight="1" x14ac:dyDescent="0.45">
      <c r="B24" s="39">
        <v>17</v>
      </c>
      <c r="C24" s="46"/>
      <c r="D24" s="41" t="s">
        <v>39</v>
      </c>
      <c r="E24" s="41" t="s">
        <v>53</v>
      </c>
      <c r="F24" s="41" t="s">
        <v>54</v>
      </c>
      <c r="G24" s="41" t="s">
        <v>20</v>
      </c>
      <c r="H24" s="42" t="s">
        <v>55</v>
      </c>
      <c r="I24" s="63"/>
      <c r="J24" s="69"/>
      <c r="K24" s="71"/>
    </row>
    <row r="25" spans="2:11" s="2" customFormat="1" ht="60" hidden="1" customHeight="1" x14ac:dyDescent="0.45">
      <c r="B25" s="39">
        <v>18</v>
      </c>
      <c r="C25" s="46"/>
      <c r="D25" s="41" t="s">
        <v>39</v>
      </c>
      <c r="E25" s="41" t="s">
        <v>53</v>
      </c>
      <c r="F25" s="41" t="s">
        <v>56</v>
      </c>
      <c r="G25" s="41" t="s">
        <v>20</v>
      </c>
      <c r="H25" s="42" t="s">
        <v>57</v>
      </c>
      <c r="I25" s="63"/>
      <c r="J25" s="69"/>
      <c r="K25" s="71"/>
    </row>
    <row r="26" spans="2:11" ht="60" hidden="1" customHeight="1" x14ac:dyDescent="0.45">
      <c r="B26" s="39">
        <v>19</v>
      </c>
      <c r="C26" s="46"/>
      <c r="D26" s="41" t="s">
        <v>39</v>
      </c>
      <c r="E26" s="41" t="s">
        <v>53</v>
      </c>
      <c r="F26" s="41" t="s">
        <v>58</v>
      </c>
      <c r="G26" s="41" t="s">
        <v>20</v>
      </c>
      <c r="H26" s="42" t="s">
        <v>59</v>
      </c>
      <c r="I26" s="63"/>
      <c r="J26" s="69"/>
      <c r="K26" s="71"/>
    </row>
    <row r="27" spans="2:11" ht="60" hidden="1" customHeight="1" x14ac:dyDescent="0.45">
      <c r="B27" s="39">
        <v>20</v>
      </c>
      <c r="C27" s="46"/>
      <c r="D27" s="41" t="s">
        <v>39</v>
      </c>
      <c r="E27" s="41" t="s">
        <v>53</v>
      </c>
      <c r="F27" s="41" t="s">
        <v>60</v>
      </c>
      <c r="G27" s="41" t="s">
        <v>20</v>
      </c>
      <c r="H27" s="42" t="s">
        <v>61</v>
      </c>
      <c r="I27" s="63"/>
      <c r="J27" s="69"/>
      <c r="K27" s="71"/>
    </row>
    <row r="28" spans="2:11" s="2" customFormat="1" ht="60" hidden="1" customHeight="1" x14ac:dyDescent="0.45">
      <c r="B28" s="39">
        <v>21</v>
      </c>
      <c r="C28" s="46"/>
      <c r="D28" s="41" t="s">
        <v>39</v>
      </c>
      <c r="E28" s="41" t="s">
        <v>53</v>
      </c>
      <c r="F28" s="41" t="s">
        <v>62</v>
      </c>
      <c r="G28" s="41" t="s">
        <v>20</v>
      </c>
      <c r="H28" s="42" t="s">
        <v>63</v>
      </c>
      <c r="I28" s="60"/>
      <c r="J28" s="62"/>
      <c r="K28" s="72"/>
    </row>
    <row r="29" spans="2:11" s="2" customFormat="1" ht="60" hidden="1" customHeight="1" x14ac:dyDescent="0.45">
      <c r="B29" s="39">
        <v>22</v>
      </c>
      <c r="C29" s="40"/>
      <c r="D29" s="41" t="s">
        <v>39</v>
      </c>
      <c r="E29" s="41" t="s">
        <v>64</v>
      </c>
      <c r="F29" s="41" t="s">
        <v>65</v>
      </c>
      <c r="G29" s="41" t="s">
        <v>20</v>
      </c>
      <c r="H29" s="42" t="s">
        <v>66</v>
      </c>
      <c r="I29" s="47" t="s">
        <v>197</v>
      </c>
      <c r="J29" s="43"/>
      <c r="K29" s="45"/>
    </row>
    <row r="30" spans="2:11" s="2" customFormat="1" ht="60" hidden="1" customHeight="1" x14ac:dyDescent="0.45">
      <c r="B30" s="39">
        <v>23</v>
      </c>
      <c r="C30" s="46"/>
      <c r="D30" s="41" t="s">
        <v>67</v>
      </c>
      <c r="E30" s="41" t="s">
        <v>68</v>
      </c>
      <c r="F30" s="41" t="s">
        <v>69</v>
      </c>
      <c r="G30" s="41" t="s">
        <v>15</v>
      </c>
      <c r="H30" s="42" t="s">
        <v>70</v>
      </c>
      <c r="I30" s="59" t="s">
        <v>197</v>
      </c>
      <c r="J30" s="61"/>
      <c r="K30" s="70"/>
    </row>
    <row r="31" spans="2:11" s="2" customFormat="1" ht="60" hidden="1" customHeight="1" x14ac:dyDescent="0.45">
      <c r="B31" s="39">
        <v>24</v>
      </c>
      <c r="C31" s="46"/>
      <c r="D31" s="41" t="s">
        <v>67</v>
      </c>
      <c r="E31" s="41" t="s">
        <v>68</v>
      </c>
      <c r="F31" s="41" t="s">
        <v>71</v>
      </c>
      <c r="G31" s="41" t="s">
        <v>15</v>
      </c>
      <c r="H31" s="42" t="s">
        <v>72</v>
      </c>
      <c r="I31" s="63"/>
      <c r="J31" s="69"/>
      <c r="K31" s="71"/>
    </row>
    <row r="32" spans="2:11" s="2" customFormat="1" ht="60" hidden="1" customHeight="1" x14ac:dyDescent="0.45">
      <c r="B32" s="39">
        <v>25</v>
      </c>
      <c r="C32" s="46"/>
      <c r="D32" s="41" t="s">
        <v>67</v>
      </c>
      <c r="E32" s="41" t="s">
        <v>68</v>
      </c>
      <c r="F32" s="41" t="s">
        <v>73</v>
      </c>
      <c r="G32" s="41" t="s">
        <v>15</v>
      </c>
      <c r="H32" s="42" t="s">
        <v>74</v>
      </c>
      <c r="I32" s="63"/>
      <c r="J32" s="69"/>
      <c r="K32" s="71"/>
    </row>
    <row r="33" spans="2:12" s="2" customFormat="1" ht="60" hidden="1" customHeight="1" x14ac:dyDescent="0.45">
      <c r="B33" s="39">
        <v>26</v>
      </c>
      <c r="C33" s="46"/>
      <c r="D33" s="41" t="s">
        <v>67</v>
      </c>
      <c r="E33" s="41" t="s">
        <v>68</v>
      </c>
      <c r="F33" s="41" t="s">
        <v>75</v>
      </c>
      <c r="G33" s="41" t="s">
        <v>15</v>
      </c>
      <c r="H33" s="42" t="s">
        <v>76</v>
      </c>
      <c r="I33" s="63"/>
      <c r="J33" s="69"/>
      <c r="K33" s="71"/>
    </row>
    <row r="34" spans="2:12" s="2" customFormat="1" ht="60" hidden="1" customHeight="1" x14ac:dyDescent="0.45">
      <c r="B34" s="39">
        <v>27</v>
      </c>
      <c r="C34" s="46"/>
      <c r="D34" s="41" t="s">
        <v>67</v>
      </c>
      <c r="E34" s="41" t="s">
        <v>68</v>
      </c>
      <c r="F34" s="41" t="s">
        <v>77</v>
      </c>
      <c r="G34" s="41" t="s">
        <v>15</v>
      </c>
      <c r="H34" s="42" t="s">
        <v>78</v>
      </c>
      <c r="I34" s="63"/>
      <c r="J34" s="69"/>
      <c r="K34" s="71"/>
    </row>
    <row r="35" spans="2:12" s="2" customFormat="1" ht="60" hidden="1" customHeight="1" x14ac:dyDescent="0.45">
      <c r="B35" s="39">
        <v>28</v>
      </c>
      <c r="C35" s="46"/>
      <c r="D35" s="41" t="s">
        <v>67</v>
      </c>
      <c r="E35" s="41" t="s">
        <v>68</v>
      </c>
      <c r="F35" s="41" t="s">
        <v>79</v>
      </c>
      <c r="G35" s="41" t="s">
        <v>15</v>
      </c>
      <c r="H35" s="42" t="s">
        <v>80</v>
      </c>
      <c r="I35" s="63"/>
      <c r="J35" s="69"/>
      <c r="K35" s="71"/>
    </row>
    <row r="36" spans="2:12" s="2" customFormat="1" ht="60" hidden="1" customHeight="1" x14ac:dyDescent="0.45">
      <c r="B36" s="39">
        <v>29</v>
      </c>
      <c r="C36" s="46"/>
      <c r="D36" s="41" t="s">
        <v>67</v>
      </c>
      <c r="E36" s="41" t="s">
        <v>68</v>
      </c>
      <c r="F36" s="41" t="s">
        <v>81</v>
      </c>
      <c r="G36" s="41" t="s">
        <v>15</v>
      </c>
      <c r="H36" s="42" t="s">
        <v>82</v>
      </c>
      <c r="I36" s="63"/>
      <c r="J36" s="69"/>
      <c r="K36" s="71"/>
    </row>
    <row r="37" spans="2:12" s="2" customFormat="1" ht="60" hidden="1" customHeight="1" x14ac:dyDescent="0.45">
      <c r="B37" s="39">
        <v>30</v>
      </c>
      <c r="C37" s="46"/>
      <c r="D37" s="41" t="s">
        <v>67</v>
      </c>
      <c r="E37" s="41" t="s">
        <v>68</v>
      </c>
      <c r="F37" s="41" t="s">
        <v>83</v>
      </c>
      <c r="G37" s="41" t="s">
        <v>15</v>
      </c>
      <c r="H37" s="42" t="s">
        <v>84</v>
      </c>
      <c r="I37" s="60"/>
      <c r="J37" s="62"/>
      <c r="K37" s="72"/>
    </row>
    <row r="38" spans="2:12" s="2" customFormat="1" ht="60" hidden="1" customHeight="1" x14ac:dyDescent="0.45">
      <c r="B38" s="39">
        <v>31</v>
      </c>
      <c r="C38" s="46"/>
      <c r="D38" s="41" t="s">
        <v>67</v>
      </c>
      <c r="E38" s="41" t="s">
        <v>85</v>
      </c>
      <c r="F38" s="41" t="s">
        <v>86</v>
      </c>
      <c r="G38" s="41" t="s">
        <v>20</v>
      </c>
      <c r="H38" s="42" t="s">
        <v>87</v>
      </c>
      <c r="I38" s="47" t="s">
        <v>197</v>
      </c>
      <c r="J38" s="43"/>
      <c r="K38" s="45"/>
    </row>
    <row r="39" spans="2:12" s="2" customFormat="1" ht="60" hidden="1" customHeight="1" x14ac:dyDescent="0.45">
      <c r="B39" s="39">
        <v>32</v>
      </c>
      <c r="C39" s="46"/>
      <c r="D39" s="41" t="s">
        <v>88</v>
      </c>
      <c r="E39" s="41" t="s">
        <v>89</v>
      </c>
      <c r="F39" s="41" t="s">
        <v>90</v>
      </c>
      <c r="G39" s="41" t="s">
        <v>20</v>
      </c>
      <c r="H39" s="42" t="s">
        <v>91</v>
      </c>
      <c r="I39" s="47" t="s">
        <v>197</v>
      </c>
      <c r="J39" s="43"/>
      <c r="K39" s="45"/>
    </row>
    <row r="40" spans="2:12" s="2" customFormat="1" ht="60" hidden="1" customHeight="1" x14ac:dyDescent="0.45">
      <c r="B40" s="39">
        <v>33</v>
      </c>
      <c r="C40" s="46"/>
      <c r="D40" s="41" t="s">
        <v>88</v>
      </c>
      <c r="E40" s="41" t="s">
        <v>92</v>
      </c>
      <c r="F40" s="41" t="s">
        <v>93</v>
      </c>
      <c r="G40" s="41" t="s">
        <v>15</v>
      </c>
      <c r="H40" s="42" t="s">
        <v>94</v>
      </c>
      <c r="I40" s="47" t="s">
        <v>197</v>
      </c>
      <c r="J40" s="43"/>
      <c r="K40" s="45"/>
    </row>
    <row r="41" spans="2:12" s="2" customFormat="1" ht="60" hidden="1" customHeight="1" x14ac:dyDescent="0.45">
      <c r="B41" s="39">
        <v>34</v>
      </c>
      <c r="C41" s="46"/>
      <c r="D41" s="41" t="s">
        <v>88</v>
      </c>
      <c r="E41" s="41" t="s">
        <v>92</v>
      </c>
      <c r="F41" s="41" t="s">
        <v>95</v>
      </c>
      <c r="G41" s="41" t="s">
        <v>20</v>
      </c>
      <c r="H41" s="42" t="s">
        <v>96</v>
      </c>
      <c r="I41" s="47" t="s">
        <v>197</v>
      </c>
      <c r="J41" s="43"/>
      <c r="K41" s="45"/>
    </row>
    <row r="42" spans="2:12" ht="60" customHeight="1" x14ac:dyDescent="0.45">
      <c r="B42" s="10">
        <v>35</v>
      </c>
      <c r="C42" s="19"/>
      <c r="D42" s="21" t="s">
        <v>99</v>
      </c>
      <c r="E42" s="21" t="s">
        <v>100</v>
      </c>
      <c r="F42" s="21" t="s">
        <v>101</v>
      </c>
      <c r="G42" s="22" t="s">
        <v>15</v>
      </c>
      <c r="H42" s="27" t="s">
        <v>102</v>
      </c>
      <c r="I42" s="29" t="s">
        <v>191</v>
      </c>
      <c r="J42" s="23">
        <v>10</v>
      </c>
      <c r="K42" s="31">
        <f t="shared" ref="K42:K46" si="0">J42*665000</f>
        <v>6650000</v>
      </c>
    </row>
    <row r="43" spans="2:12" ht="60" hidden="1" customHeight="1" x14ac:dyDescent="0.45">
      <c r="B43" s="39">
        <v>36</v>
      </c>
      <c r="C43" s="46"/>
      <c r="D43" s="41" t="s">
        <v>99</v>
      </c>
      <c r="E43" s="41" t="s">
        <v>100</v>
      </c>
      <c r="F43" s="41" t="s">
        <v>103</v>
      </c>
      <c r="G43" s="41" t="s">
        <v>15</v>
      </c>
      <c r="H43" s="42" t="s">
        <v>104</v>
      </c>
      <c r="I43" s="47" t="s">
        <v>197</v>
      </c>
      <c r="J43" s="43"/>
      <c r="K43" s="45"/>
    </row>
    <row r="44" spans="2:12" s="2" customFormat="1" ht="60" customHeight="1" x14ac:dyDescent="0.45">
      <c r="B44" s="10">
        <v>37</v>
      </c>
      <c r="C44" s="19"/>
      <c r="D44" s="21" t="s">
        <v>105</v>
      </c>
      <c r="E44" s="21" t="s">
        <v>106</v>
      </c>
      <c r="F44" s="21" t="s">
        <v>107</v>
      </c>
      <c r="G44" s="21" t="s">
        <v>15</v>
      </c>
      <c r="H44" s="27" t="s">
        <v>108</v>
      </c>
      <c r="I44" s="29" t="s">
        <v>109</v>
      </c>
      <c r="J44" s="23">
        <v>20</v>
      </c>
      <c r="K44" s="31">
        <f t="shared" si="0"/>
        <v>13300000</v>
      </c>
    </row>
    <row r="45" spans="2:12" s="2" customFormat="1" ht="60" customHeight="1" x14ac:dyDescent="0.45">
      <c r="B45" s="10">
        <v>38</v>
      </c>
      <c r="C45" s="9"/>
      <c r="D45" s="21" t="s">
        <v>105</v>
      </c>
      <c r="E45" s="21" t="s">
        <v>110</v>
      </c>
      <c r="F45" s="21" t="s">
        <v>111</v>
      </c>
      <c r="G45" s="21" t="s">
        <v>15</v>
      </c>
      <c r="H45" s="27" t="s">
        <v>112</v>
      </c>
      <c r="I45" s="29" t="s">
        <v>193</v>
      </c>
      <c r="J45" s="23">
        <v>10</v>
      </c>
      <c r="K45" s="31">
        <f t="shared" si="0"/>
        <v>6650000</v>
      </c>
      <c r="L45" s="2" t="s">
        <v>201</v>
      </c>
    </row>
    <row r="46" spans="2:12" s="2" customFormat="1" ht="60" customHeight="1" x14ac:dyDescent="0.45">
      <c r="B46" s="10">
        <v>39</v>
      </c>
      <c r="C46" s="8"/>
      <c r="D46" s="21" t="s">
        <v>105</v>
      </c>
      <c r="E46" s="21" t="s">
        <v>110</v>
      </c>
      <c r="F46" s="21" t="s">
        <v>113</v>
      </c>
      <c r="G46" s="21" t="s">
        <v>15</v>
      </c>
      <c r="H46" s="27" t="s">
        <v>114</v>
      </c>
      <c r="I46" s="29" t="s">
        <v>192</v>
      </c>
      <c r="J46" s="23">
        <v>10</v>
      </c>
      <c r="K46" s="31">
        <f t="shared" si="0"/>
        <v>6650000</v>
      </c>
      <c r="L46" s="2" t="s">
        <v>202</v>
      </c>
    </row>
    <row r="47" spans="2:12" s="2" customFormat="1" ht="60" hidden="1" customHeight="1" x14ac:dyDescent="0.45">
      <c r="B47" s="39">
        <v>40</v>
      </c>
      <c r="C47" s="46"/>
      <c r="D47" s="41" t="s">
        <v>105</v>
      </c>
      <c r="E47" s="41" t="s">
        <v>110</v>
      </c>
      <c r="F47" s="41" t="s">
        <v>115</v>
      </c>
      <c r="G47" s="41" t="s">
        <v>15</v>
      </c>
      <c r="H47" s="42" t="s">
        <v>116</v>
      </c>
      <c r="I47" s="59" t="s">
        <v>197</v>
      </c>
      <c r="J47" s="61"/>
      <c r="K47" s="70"/>
    </row>
    <row r="48" spans="2:12" s="2" customFormat="1" ht="60" hidden="1" customHeight="1" x14ac:dyDescent="0.45">
      <c r="B48" s="39">
        <v>41</v>
      </c>
      <c r="C48" s="46"/>
      <c r="D48" s="41" t="s">
        <v>105</v>
      </c>
      <c r="E48" s="41" t="s">
        <v>110</v>
      </c>
      <c r="F48" s="41" t="s">
        <v>117</v>
      </c>
      <c r="G48" s="41" t="s">
        <v>15</v>
      </c>
      <c r="H48" s="42" t="s">
        <v>118</v>
      </c>
      <c r="I48" s="60"/>
      <c r="J48" s="62"/>
      <c r="K48" s="72"/>
    </row>
    <row r="49" spans="2:11" s="2" customFormat="1" ht="60" customHeight="1" x14ac:dyDescent="0.45">
      <c r="B49" s="10">
        <v>42</v>
      </c>
      <c r="C49" s="19"/>
      <c r="D49" s="21" t="s">
        <v>105</v>
      </c>
      <c r="E49" s="21" t="s">
        <v>110</v>
      </c>
      <c r="F49" s="21" t="s">
        <v>119</v>
      </c>
      <c r="G49" s="21" t="s">
        <v>15</v>
      </c>
      <c r="H49" s="27" t="s">
        <v>120</v>
      </c>
      <c r="I49" s="29" t="s">
        <v>121</v>
      </c>
      <c r="J49" s="23">
        <v>30</v>
      </c>
      <c r="K49" s="31">
        <f t="shared" ref="K49:K54" si="1">J49*665000</f>
        <v>19950000</v>
      </c>
    </row>
    <row r="50" spans="2:11" s="2" customFormat="1" ht="60" hidden="1" customHeight="1" x14ac:dyDescent="0.45">
      <c r="B50" s="39">
        <v>43</v>
      </c>
      <c r="C50" s="46"/>
      <c r="D50" s="41" t="s">
        <v>105</v>
      </c>
      <c r="E50" s="41" t="s">
        <v>122</v>
      </c>
      <c r="F50" s="41" t="s">
        <v>123</v>
      </c>
      <c r="G50" s="41" t="s">
        <v>15</v>
      </c>
      <c r="H50" s="42" t="s">
        <v>124</v>
      </c>
      <c r="I50" s="47" t="s">
        <v>197</v>
      </c>
      <c r="J50" s="43"/>
      <c r="K50" s="45"/>
    </row>
    <row r="51" spans="2:11" s="2" customFormat="1" ht="60" customHeight="1" x14ac:dyDescent="0.45">
      <c r="B51" s="10">
        <v>44</v>
      </c>
      <c r="C51" s="19"/>
      <c r="D51" s="21" t="s">
        <v>105</v>
      </c>
      <c r="E51" s="21" t="s">
        <v>122</v>
      </c>
      <c r="F51" s="21" t="s">
        <v>125</v>
      </c>
      <c r="G51" s="21" t="s">
        <v>15</v>
      </c>
      <c r="H51" s="27" t="s">
        <v>126</v>
      </c>
      <c r="I51" s="29" t="s">
        <v>194</v>
      </c>
      <c r="J51" s="23">
        <v>10</v>
      </c>
      <c r="K51" s="31">
        <f t="shared" si="1"/>
        <v>6650000</v>
      </c>
    </row>
    <row r="52" spans="2:11" s="2" customFormat="1" ht="60" customHeight="1" x14ac:dyDescent="0.45">
      <c r="B52" s="10">
        <v>45</v>
      </c>
      <c r="C52" s="19"/>
      <c r="D52" s="21" t="s">
        <v>105</v>
      </c>
      <c r="E52" s="21" t="s">
        <v>127</v>
      </c>
      <c r="F52" s="21" t="s">
        <v>128</v>
      </c>
      <c r="G52" s="21" t="s">
        <v>15</v>
      </c>
      <c r="H52" s="27" t="s">
        <v>129</v>
      </c>
      <c r="I52" s="29" t="s">
        <v>130</v>
      </c>
      <c r="J52" s="23">
        <v>20</v>
      </c>
      <c r="K52" s="31">
        <f t="shared" si="1"/>
        <v>13300000</v>
      </c>
    </row>
    <row r="53" spans="2:11" s="2" customFormat="1" ht="60" customHeight="1" x14ac:dyDescent="0.45">
      <c r="B53" s="10">
        <v>46</v>
      </c>
      <c r="C53" s="19"/>
      <c r="D53" s="21" t="s">
        <v>105</v>
      </c>
      <c r="E53" s="21" t="s">
        <v>127</v>
      </c>
      <c r="F53" s="21" t="s">
        <v>131</v>
      </c>
      <c r="G53" s="21" t="s">
        <v>15</v>
      </c>
      <c r="H53" s="27" t="s">
        <v>132</v>
      </c>
      <c r="I53" s="29" t="s">
        <v>194</v>
      </c>
      <c r="J53" s="23">
        <v>10</v>
      </c>
      <c r="K53" s="31">
        <f t="shared" si="1"/>
        <v>6650000</v>
      </c>
    </row>
    <row r="54" spans="2:11" s="2" customFormat="1" ht="60" customHeight="1" x14ac:dyDescent="0.45">
      <c r="B54" s="10">
        <v>47</v>
      </c>
      <c r="C54" s="19"/>
      <c r="D54" s="21" t="s">
        <v>105</v>
      </c>
      <c r="E54" s="21" t="s">
        <v>127</v>
      </c>
      <c r="F54" s="21" t="s">
        <v>133</v>
      </c>
      <c r="G54" s="21" t="s">
        <v>15</v>
      </c>
      <c r="H54" s="27" t="s">
        <v>134</v>
      </c>
      <c r="I54" s="53" t="s">
        <v>190</v>
      </c>
      <c r="J54" s="55">
        <v>20</v>
      </c>
      <c r="K54" s="82">
        <f t="shared" si="1"/>
        <v>13300000</v>
      </c>
    </row>
    <row r="55" spans="2:11" s="2" customFormat="1" ht="60" hidden="1" customHeight="1" x14ac:dyDescent="0.45">
      <c r="B55" s="10">
        <v>48</v>
      </c>
      <c r="C55" s="19"/>
      <c r="D55" s="21" t="s">
        <v>105</v>
      </c>
      <c r="E55" s="21" t="s">
        <v>127</v>
      </c>
      <c r="F55" s="21" t="s">
        <v>135</v>
      </c>
      <c r="G55" s="21" t="s">
        <v>15</v>
      </c>
      <c r="H55" s="27" t="s">
        <v>136</v>
      </c>
      <c r="I55" s="54"/>
      <c r="J55" s="81"/>
      <c r="K55" s="83"/>
    </row>
    <row r="56" spans="2:11" s="2" customFormat="1" ht="60" hidden="1" customHeight="1" x14ac:dyDescent="0.45">
      <c r="B56" s="39">
        <v>49</v>
      </c>
      <c r="C56" s="46"/>
      <c r="D56" s="41" t="s">
        <v>105</v>
      </c>
      <c r="E56" s="41" t="s">
        <v>127</v>
      </c>
      <c r="F56" s="41" t="s">
        <v>137</v>
      </c>
      <c r="G56" s="41" t="s">
        <v>15</v>
      </c>
      <c r="H56" s="42" t="s">
        <v>138</v>
      </c>
      <c r="I56" s="59" t="s">
        <v>197</v>
      </c>
      <c r="J56" s="79"/>
      <c r="K56" s="80"/>
    </row>
    <row r="57" spans="2:11" s="2" customFormat="1" ht="60" hidden="1" customHeight="1" x14ac:dyDescent="0.45">
      <c r="B57" s="39">
        <v>50</v>
      </c>
      <c r="C57" s="46"/>
      <c r="D57" s="41" t="s">
        <v>105</v>
      </c>
      <c r="E57" s="41" t="s">
        <v>127</v>
      </c>
      <c r="F57" s="41" t="s">
        <v>139</v>
      </c>
      <c r="G57" s="41" t="s">
        <v>15</v>
      </c>
      <c r="H57" s="42" t="s">
        <v>140</v>
      </c>
      <c r="I57" s="78"/>
      <c r="J57" s="62"/>
      <c r="K57" s="72"/>
    </row>
    <row r="58" spans="2:11" s="2" customFormat="1" ht="60" hidden="1" customHeight="1" x14ac:dyDescent="0.45">
      <c r="B58" s="39">
        <v>51</v>
      </c>
      <c r="C58" s="46"/>
      <c r="D58" s="41" t="s">
        <v>105</v>
      </c>
      <c r="E58" s="41" t="s">
        <v>127</v>
      </c>
      <c r="F58" s="41" t="s">
        <v>141</v>
      </c>
      <c r="G58" s="41" t="s">
        <v>15</v>
      </c>
      <c r="H58" s="42" t="s">
        <v>142</v>
      </c>
      <c r="I58" s="47" t="s">
        <v>197</v>
      </c>
      <c r="J58" s="43"/>
      <c r="K58" s="45"/>
    </row>
    <row r="59" spans="2:11" s="2" customFormat="1" ht="60" customHeight="1" x14ac:dyDescent="0.45">
      <c r="B59" s="10">
        <v>52</v>
      </c>
      <c r="C59" s="19"/>
      <c r="D59" s="21" t="s">
        <v>105</v>
      </c>
      <c r="E59" s="21" t="s">
        <v>143</v>
      </c>
      <c r="F59" s="21" t="s">
        <v>144</v>
      </c>
      <c r="G59" s="21" t="s">
        <v>15</v>
      </c>
      <c r="H59" s="27" t="s">
        <v>145</v>
      </c>
      <c r="I59" s="29" t="s">
        <v>194</v>
      </c>
      <c r="J59" s="23">
        <v>10</v>
      </c>
      <c r="K59" s="31">
        <f t="shared" ref="K59:K61" si="2">J59*665000</f>
        <v>6650000</v>
      </c>
    </row>
    <row r="60" spans="2:11" s="2" customFormat="1" ht="60" hidden="1" customHeight="1" x14ac:dyDescent="0.45">
      <c r="B60" s="39">
        <v>53</v>
      </c>
      <c r="C60" s="46"/>
      <c r="D60" s="41" t="s">
        <v>146</v>
      </c>
      <c r="E60" s="41" t="s">
        <v>147</v>
      </c>
      <c r="F60" s="41" t="s">
        <v>148</v>
      </c>
      <c r="G60" s="41" t="s">
        <v>20</v>
      </c>
      <c r="H60" s="42" t="s">
        <v>149</v>
      </c>
      <c r="I60" s="47" t="s">
        <v>197</v>
      </c>
      <c r="J60" s="43"/>
      <c r="K60" s="45"/>
    </row>
    <row r="61" spans="2:11" s="2" customFormat="1" ht="60" customHeight="1" thickBot="1" x14ac:dyDescent="0.5">
      <c r="B61" s="10">
        <v>54</v>
      </c>
      <c r="C61" s="19"/>
      <c r="D61" s="24" t="s">
        <v>146</v>
      </c>
      <c r="E61" s="24" t="s">
        <v>147</v>
      </c>
      <c r="F61" s="24" t="s">
        <v>150</v>
      </c>
      <c r="G61" s="25" t="s">
        <v>15</v>
      </c>
      <c r="H61" s="28" t="s">
        <v>151</v>
      </c>
      <c r="I61" s="48" t="s">
        <v>199</v>
      </c>
      <c r="J61" s="23">
        <v>10</v>
      </c>
      <c r="K61" s="31">
        <f t="shared" si="2"/>
        <v>6650000</v>
      </c>
    </row>
    <row r="62" spans="2:11" s="2" customFormat="1" ht="60" hidden="1" customHeight="1" x14ac:dyDescent="0.5">
      <c r="B62" s="39">
        <v>55</v>
      </c>
      <c r="C62" s="46"/>
      <c r="D62" s="41" t="s">
        <v>146</v>
      </c>
      <c r="E62" s="41" t="s">
        <v>152</v>
      </c>
      <c r="F62" s="41" t="s">
        <v>153</v>
      </c>
      <c r="G62" s="41" t="s">
        <v>20</v>
      </c>
      <c r="H62" s="42" t="s">
        <v>154</v>
      </c>
      <c r="I62" s="47" t="s">
        <v>197</v>
      </c>
      <c r="J62" s="43"/>
      <c r="K62" s="45"/>
    </row>
    <row r="63" spans="2:11" s="2" customFormat="1" ht="60" hidden="1" customHeight="1" x14ac:dyDescent="0.5">
      <c r="B63" s="39">
        <v>56</v>
      </c>
      <c r="C63" s="46"/>
      <c r="D63" s="41" t="s">
        <v>146</v>
      </c>
      <c r="E63" s="41" t="s">
        <v>152</v>
      </c>
      <c r="F63" s="41" t="s">
        <v>155</v>
      </c>
      <c r="G63" s="41" t="s">
        <v>15</v>
      </c>
      <c r="H63" s="42" t="s">
        <v>156</v>
      </c>
      <c r="I63" s="47" t="s">
        <v>197</v>
      </c>
      <c r="J63" s="43"/>
      <c r="K63" s="45"/>
    </row>
    <row r="64" spans="2:11" s="2" customFormat="1" ht="60" hidden="1" customHeight="1" x14ac:dyDescent="0.5">
      <c r="B64" s="39">
        <v>57</v>
      </c>
      <c r="C64" s="46"/>
      <c r="D64" s="41" t="s">
        <v>157</v>
      </c>
      <c r="E64" s="41" t="s">
        <v>158</v>
      </c>
      <c r="F64" s="41" t="s">
        <v>159</v>
      </c>
      <c r="G64" s="41" t="s">
        <v>15</v>
      </c>
      <c r="H64" s="42" t="s">
        <v>160</v>
      </c>
      <c r="I64" s="47" t="s">
        <v>197</v>
      </c>
      <c r="J64" s="43"/>
      <c r="K64" s="45"/>
    </row>
    <row r="65" spans="2:11" s="2" customFormat="1" ht="60" hidden="1" customHeight="1" x14ac:dyDescent="0.5">
      <c r="B65" s="39">
        <v>58</v>
      </c>
      <c r="C65" s="46"/>
      <c r="D65" s="49" t="s">
        <v>157</v>
      </c>
      <c r="E65" s="49" t="s">
        <v>161</v>
      </c>
      <c r="F65" s="49" t="s">
        <v>162</v>
      </c>
      <c r="G65" s="49" t="s">
        <v>15</v>
      </c>
      <c r="H65" s="50" t="s">
        <v>163</v>
      </c>
      <c r="I65" s="47" t="s">
        <v>197</v>
      </c>
      <c r="J65" s="43"/>
      <c r="K65" s="45"/>
    </row>
    <row r="66" spans="2:11" s="2" customFormat="1" ht="60" hidden="1" customHeight="1" x14ac:dyDescent="0.5">
      <c r="B66" s="39">
        <v>59</v>
      </c>
      <c r="C66" s="46"/>
      <c r="D66" s="49" t="s">
        <v>157</v>
      </c>
      <c r="E66" s="49" t="s">
        <v>164</v>
      </c>
      <c r="F66" s="49" t="s">
        <v>165</v>
      </c>
      <c r="G66" s="49" t="s">
        <v>15</v>
      </c>
      <c r="H66" s="50" t="s">
        <v>166</v>
      </c>
      <c r="I66" s="59" t="s">
        <v>196</v>
      </c>
      <c r="J66" s="61"/>
      <c r="K66" s="70"/>
    </row>
    <row r="67" spans="2:11" s="2" customFormat="1" ht="60" hidden="1" customHeight="1" x14ac:dyDescent="0.5">
      <c r="B67" s="39">
        <v>60</v>
      </c>
      <c r="C67" s="46"/>
      <c r="D67" s="49" t="s">
        <v>157</v>
      </c>
      <c r="E67" s="49" t="s">
        <v>164</v>
      </c>
      <c r="F67" s="49" t="s">
        <v>167</v>
      </c>
      <c r="G67" s="49" t="s">
        <v>15</v>
      </c>
      <c r="H67" s="50" t="s">
        <v>168</v>
      </c>
      <c r="I67" s="63"/>
      <c r="J67" s="69"/>
      <c r="K67" s="71"/>
    </row>
    <row r="68" spans="2:11" s="2" customFormat="1" ht="60" hidden="1" customHeight="1" x14ac:dyDescent="0.5">
      <c r="B68" s="39">
        <v>61</v>
      </c>
      <c r="C68" s="46"/>
      <c r="D68" s="49" t="s">
        <v>157</v>
      </c>
      <c r="E68" s="49" t="s">
        <v>164</v>
      </c>
      <c r="F68" s="49" t="s">
        <v>169</v>
      </c>
      <c r="G68" s="49" t="s">
        <v>15</v>
      </c>
      <c r="H68" s="50" t="s">
        <v>170</v>
      </c>
      <c r="I68" s="60"/>
      <c r="J68" s="62"/>
      <c r="K68" s="72"/>
    </row>
    <row r="69" spans="2:11" s="2" customFormat="1" ht="60" hidden="1" customHeight="1" x14ac:dyDescent="0.5">
      <c r="B69" s="39">
        <v>62</v>
      </c>
      <c r="C69" s="46"/>
      <c r="D69" s="49" t="s">
        <v>157</v>
      </c>
      <c r="E69" s="49" t="s">
        <v>171</v>
      </c>
      <c r="F69" s="49" t="s">
        <v>172</v>
      </c>
      <c r="G69" s="49" t="s">
        <v>15</v>
      </c>
      <c r="H69" s="50" t="s">
        <v>173</v>
      </c>
      <c r="I69" s="59" t="s">
        <v>196</v>
      </c>
      <c r="J69" s="61"/>
      <c r="K69" s="70"/>
    </row>
    <row r="70" spans="2:11" ht="60" hidden="1" customHeight="1" x14ac:dyDescent="0.5">
      <c r="B70" s="39">
        <v>63</v>
      </c>
      <c r="C70" s="46"/>
      <c r="D70" s="51" t="s">
        <v>157</v>
      </c>
      <c r="E70" s="51" t="s">
        <v>158</v>
      </c>
      <c r="F70" s="51" t="s">
        <v>174</v>
      </c>
      <c r="G70" s="51" t="s">
        <v>15</v>
      </c>
      <c r="H70" s="52" t="s">
        <v>175</v>
      </c>
      <c r="I70" s="63"/>
      <c r="J70" s="69"/>
      <c r="K70" s="71"/>
    </row>
    <row r="71" spans="2:11" ht="60" hidden="1" customHeight="1" x14ac:dyDescent="0.5">
      <c r="B71" s="39">
        <v>64</v>
      </c>
      <c r="C71" s="46"/>
      <c r="D71" s="49" t="s">
        <v>157</v>
      </c>
      <c r="E71" s="49" t="s">
        <v>164</v>
      </c>
      <c r="F71" s="49" t="s">
        <v>176</v>
      </c>
      <c r="G71" s="49" t="s">
        <v>15</v>
      </c>
      <c r="H71" s="50" t="s">
        <v>177</v>
      </c>
      <c r="I71" s="63"/>
      <c r="J71" s="69"/>
      <c r="K71" s="71"/>
    </row>
    <row r="72" spans="2:11" s="2" customFormat="1" ht="60" hidden="1" customHeight="1" x14ac:dyDescent="0.5">
      <c r="B72" s="39">
        <v>65</v>
      </c>
      <c r="C72" s="46"/>
      <c r="D72" s="49" t="s">
        <v>157</v>
      </c>
      <c r="E72" s="49" t="s">
        <v>178</v>
      </c>
      <c r="F72" s="49" t="s">
        <v>179</v>
      </c>
      <c r="G72" s="49" t="s">
        <v>15</v>
      </c>
      <c r="H72" s="50" t="s">
        <v>180</v>
      </c>
      <c r="I72" s="60"/>
      <c r="J72" s="62"/>
      <c r="K72" s="72"/>
    </row>
    <row r="73" spans="2:11" s="2" customFormat="1" ht="60" hidden="1" customHeight="1" x14ac:dyDescent="0.5">
      <c r="B73" s="39">
        <v>66</v>
      </c>
      <c r="C73" s="40"/>
      <c r="D73" s="41" t="s">
        <v>157</v>
      </c>
      <c r="E73" s="41" t="s">
        <v>181</v>
      </c>
      <c r="F73" s="41" t="s">
        <v>182</v>
      </c>
      <c r="G73" s="41" t="s">
        <v>20</v>
      </c>
      <c r="H73" s="42" t="s">
        <v>183</v>
      </c>
      <c r="I73" s="47" t="s">
        <v>197</v>
      </c>
      <c r="J73" s="43"/>
      <c r="K73" s="45"/>
    </row>
    <row r="74" spans="2:11" s="2" customFormat="1" ht="60" hidden="1" customHeight="1" x14ac:dyDescent="0.5">
      <c r="B74" s="39">
        <v>67</v>
      </c>
      <c r="C74" s="46"/>
      <c r="D74" s="41" t="s">
        <v>157</v>
      </c>
      <c r="E74" s="41" t="s">
        <v>181</v>
      </c>
      <c r="F74" s="41" t="s">
        <v>184</v>
      </c>
      <c r="G74" s="41" t="s">
        <v>15</v>
      </c>
      <c r="H74" s="42" t="s">
        <v>185</v>
      </c>
      <c r="I74" s="59" t="s">
        <v>197</v>
      </c>
      <c r="J74" s="61"/>
      <c r="K74" s="70"/>
    </row>
    <row r="75" spans="2:11" s="2" customFormat="1" ht="60" hidden="1" customHeight="1" thickBot="1" x14ac:dyDescent="0.5">
      <c r="B75" s="39">
        <v>68</v>
      </c>
      <c r="C75" s="46"/>
      <c r="D75" s="41" t="s">
        <v>157</v>
      </c>
      <c r="E75" s="41" t="s">
        <v>181</v>
      </c>
      <c r="F75" s="41" t="s">
        <v>186</v>
      </c>
      <c r="G75" s="41" t="s">
        <v>15</v>
      </c>
      <c r="H75" s="42" t="s">
        <v>187</v>
      </c>
      <c r="I75" s="77"/>
      <c r="J75" s="62"/>
      <c r="K75" s="72"/>
    </row>
    <row r="76" spans="2:11" s="2" customFormat="1" ht="75" customHeight="1" thickBot="1" x14ac:dyDescent="0.5">
      <c r="B76" s="36">
        <v>69</v>
      </c>
      <c r="C76" s="74" t="s">
        <v>188</v>
      </c>
      <c r="D76" s="75"/>
      <c r="E76" s="76" t="s">
        <v>195</v>
      </c>
      <c r="F76" s="75"/>
      <c r="G76" s="37" t="s">
        <v>15</v>
      </c>
      <c r="H76" s="38"/>
      <c r="I76" s="18"/>
      <c r="J76" s="17">
        <v>50</v>
      </c>
      <c r="K76" s="32">
        <f>J76*665000</f>
        <v>33250000</v>
      </c>
    </row>
  </sheetData>
  <autoFilter ref="B7:J76" xr:uid="{00000000-0009-0000-0000-000000000000}">
    <filterColumn colId="8">
      <customFilters>
        <customFilter operator="notEqual" val=" "/>
      </customFilters>
    </filterColumn>
  </autoFilter>
  <mergeCells count="37">
    <mergeCell ref="I74:I75"/>
    <mergeCell ref="I56:I57"/>
    <mergeCell ref="J56:J57"/>
    <mergeCell ref="K56:K57"/>
    <mergeCell ref="I54:I55"/>
    <mergeCell ref="J54:J55"/>
    <mergeCell ref="K54:K55"/>
    <mergeCell ref="C76:D76"/>
    <mergeCell ref="K66:K68"/>
    <mergeCell ref="K74:K75"/>
    <mergeCell ref="K13:K15"/>
    <mergeCell ref="K30:K37"/>
    <mergeCell ref="J69:J72"/>
    <mergeCell ref="J22:J28"/>
    <mergeCell ref="J66:J68"/>
    <mergeCell ref="J13:J15"/>
    <mergeCell ref="K47:K48"/>
    <mergeCell ref="J30:J37"/>
    <mergeCell ref="J74:J75"/>
    <mergeCell ref="E76:F76"/>
    <mergeCell ref="I66:I68"/>
    <mergeCell ref="I69:I72"/>
    <mergeCell ref="K69:K72"/>
    <mergeCell ref="I8:I9"/>
    <mergeCell ref="J8:J9"/>
    <mergeCell ref="K8:K9"/>
    <mergeCell ref="I47:I48"/>
    <mergeCell ref="J47:J48"/>
    <mergeCell ref="I13:I15"/>
    <mergeCell ref="I18:I28"/>
    <mergeCell ref="I30:I37"/>
    <mergeCell ref="I10:I11"/>
    <mergeCell ref="K10:K11"/>
    <mergeCell ref="J18:J21"/>
    <mergeCell ref="K18:K21"/>
    <mergeCell ref="K22:K28"/>
    <mergeCell ref="J10:J11"/>
  </mergeCells>
  <phoneticPr fontId="1" type="noConversion"/>
  <conditionalFormatting sqref="G8:G75">
    <cfRule type="containsText" dxfId="1" priority="1" operator="containsText" text="Must have">
      <formula>NOT(ISERROR(SEARCH("Must have",G8)))</formula>
    </cfRule>
    <cfRule type="cellIs" dxfId="0" priority="2" operator="equal">
      <formula>"must"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6520aa-e888-4191-942e-e890d5ebb3f3">
      <Terms xmlns="http://schemas.microsoft.com/office/infopath/2007/PartnerControls"/>
    </lcf76f155ced4ddcb4097134ff3c332f>
    <TaxCatchAll xmlns="e15bef61-f0dc-4081-a79d-b794498a0f8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9AEDBBFF0AE3F44909991375AA848B4" ma:contentTypeVersion="15" ma:contentTypeDescription="새 문서를 만듭니다." ma:contentTypeScope="" ma:versionID="f7a36e41eb2c15065d539445733c6a52">
  <xsd:schema xmlns:xsd="http://www.w3.org/2001/XMLSchema" xmlns:xs="http://www.w3.org/2001/XMLSchema" xmlns:p="http://schemas.microsoft.com/office/2006/metadata/properties" xmlns:ns2="9b6520aa-e888-4191-942e-e890d5ebb3f3" xmlns:ns3="e15bef61-f0dc-4081-a79d-b794498a0f88" targetNamespace="http://schemas.microsoft.com/office/2006/metadata/properties" ma:root="true" ma:fieldsID="17bdb85084c7a8f1fbad51787947dc54" ns2:_="" ns3:_="">
    <xsd:import namespace="9b6520aa-e888-4191-942e-e890d5ebb3f3"/>
    <xsd:import namespace="e15bef61-f0dc-4081-a79d-b794498a0f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20aa-e888-4191-942e-e890d5ebb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f07db4b9-21d2-4d42-a42c-6577287b12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5bef61-f0dc-4081-a79d-b794498a0f8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a9446bd-900d-46ae-bb7d-6ef7266f2b1e}" ma:internalName="TaxCatchAll" ma:showField="CatchAllData" ma:web="e15bef61-f0dc-4081-a79d-b794498a0f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ED9334-13DE-4D58-948B-5B5F7F68E8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0AC4F1-DD19-4802-9E0A-D630D2BD71A6}">
  <ds:schemaRefs>
    <ds:schemaRef ds:uri="http://schemas.microsoft.com/office/2006/metadata/properties"/>
    <ds:schemaRef ds:uri="http://schemas.microsoft.com/office/infopath/2007/PartnerControls"/>
    <ds:schemaRef ds:uri="9b6520aa-e888-4191-942e-e890d5ebb3f3"/>
    <ds:schemaRef ds:uri="e15bef61-f0dc-4081-a79d-b794498a0f88"/>
  </ds:schemaRefs>
</ds:datastoreItem>
</file>

<file path=customXml/itemProps3.xml><?xml version="1.0" encoding="utf-8"?>
<ds:datastoreItem xmlns:ds="http://schemas.openxmlformats.org/officeDocument/2006/customXml" ds:itemID="{C3FA2E4F-FF9C-4DC2-86E7-179C7C288C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6520aa-e888-4191-942e-e890d5ebb3f3"/>
    <ds:schemaRef ds:uri="e15bef61-f0dc-4081-a79d-b794498a0f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정의 및 공수산정 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talen</dc:creator>
  <cp:lastModifiedBy>현수 최</cp:lastModifiedBy>
  <dcterms:created xsi:type="dcterms:W3CDTF">2023-07-06T03:10:05Z</dcterms:created>
  <dcterms:modified xsi:type="dcterms:W3CDTF">2026-08-13T07:25:24Z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0x01010069AEDBBFF0AE3F44909991375AA848B4</vt:lpwstr>
  </property>
  <property fmtid="{D5CDD505-2E9C-101B-9397-08002B2CF9AE}" pid="3" name="MediaServiceImageTags">
    <vt:lpwstr/>
  </property>
</Properties>
</file>